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FlyTheNest\Data Science\Excel\Excel Project Retail (Harsh Sir)\My Work\"/>
    </mc:Choice>
  </mc:AlternateContent>
  <xr:revisionPtr revIDLastSave="0" documentId="13_ncr:1_{447BFB2D-76C6-4CBF-B7D0-3D7DD9530E96}" xr6:coauthVersionLast="47" xr6:coauthVersionMax="47" xr10:uidLastSave="{00000000-0000-0000-0000-000000000000}"/>
  <bookViews>
    <workbookView xWindow="-108" yWindow="-108" windowWidth="23256" windowHeight="12456" firstSheet="2" activeTab="2" xr2:uid="{00000000-000D-0000-FFFF-FFFF00000000}"/>
  </bookViews>
  <sheets>
    <sheet name="RetailSales" sheetId="1" r:id="rId1"/>
    <sheet name="Pivot_1" sheetId="3" r:id="rId2"/>
    <sheet name="Dashboard_1" sheetId="4" r:id="rId3"/>
    <sheet name="Pivot_2" sheetId="5" r:id="rId4"/>
    <sheet name="Dashboard_2" sheetId="6" r:id="rId5"/>
    <sheet name="Questions" sheetId="2" r:id="rId6"/>
    <sheet name="Pivot_3" sheetId="7" r:id="rId7"/>
    <sheet name="Dashboard_3" sheetId="9" r:id="rId8"/>
  </sheets>
  <definedNames>
    <definedName name="_xlnm._FilterDatabase" localSheetId="0" hidden="1">RetailSales!$A$1:$O$201</definedName>
    <definedName name="_xlchart.v5.0" hidden="1">Pivot_1!$E$25</definedName>
    <definedName name="_xlchart.v5.1" hidden="1">Pivot_1!$E$26:$E$41</definedName>
    <definedName name="_xlchart.v5.2" hidden="1">Pivot_1!$F$25</definedName>
    <definedName name="_xlchart.v5.3" hidden="1">Pivot_1!$F$26:$F$41</definedName>
    <definedName name="Slicer_Category">#N/A</definedName>
    <definedName name="Slicer_Category1">#N/A</definedName>
    <definedName name="Slicer_Customer_Type">#N/A</definedName>
    <definedName name="Slicer_Region">#N/A</definedName>
    <definedName name="Slicer_Salesperson">#N/A</definedName>
    <definedName name="Slicer_Salesperson1">#N/A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 i="1"/>
  <c r="H9" i="5"/>
  <c r="E27" i="3"/>
  <c r="E28" i="3"/>
  <c r="E29" i="3"/>
  <c r="E30" i="3"/>
  <c r="E31" i="3"/>
  <c r="E32" i="3"/>
  <c r="E33" i="3"/>
  <c r="E34" i="3"/>
  <c r="E35" i="3"/>
  <c r="E36" i="3"/>
  <c r="E37" i="3"/>
  <c r="E38" i="3"/>
  <c r="E39" i="3"/>
  <c r="E40" i="3"/>
  <c r="E41" i="3"/>
  <c r="E26" i="3"/>
  <c r="G252" i="3"/>
  <c r="G267" i="3"/>
  <c r="G108" i="3"/>
  <c r="F247" i="3"/>
  <c r="F268" i="3"/>
  <c r="F144" i="3"/>
  <c r="G208" i="3"/>
  <c r="F132" i="3"/>
  <c r="F109" i="3"/>
  <c r="G199" i="3"/>
  <c r="F230" i="3"/>
  <c r="F251" i="3"/>
  <c r="G222" i="3"/>
  <c r="G154" i="3"/>
  <c r="F153" i="3"/>
  <c r="G165" i="3"/>
  <c r="G162" i="3"/>
  <c r="F225" i="3"/>
  <c r="G217" i="3"/>
  <c r="G246" i="3"/>
  <c r="G122" i="3"/>
  <c r="G202" i="3"/>
  <c r="F260" i="3"/>
  <c r="F241" i="3"/>
  <c r="F133" i="3"/>
  <c r="G261" i="3"/>
  <c r="G184" i="3"/>
  <c r="G114" i="3"/>
  <c r="F103" i="3"/>
  <c r="F155" i="3"/>
  <c r="F288" i="3"/>
  <c r="G183" i="3"/>
  <c r="G251" i="3"/>
  <c r="F206" i="3"/>
  <c r="G189" i="3"/>
  <c r="G247" i="3"/>
  <c r="G113" i="3"/>
  <c r="F126" i="3"/>
  <c r="F235" i="3"/>
  <c r="F194" i="3"/>
  <c r="F284" i="3"/>
  <c r="F149" i="3"/>
  <c r="G102" i="3"/>
  <c r="F35" i="3"/>
  <c r="F285" i="3"/>
  <c r="F100" i="3"/>
  <c r="F107" i="3"/>
  <c r="F171" i="3"/>
  <c r="F143" i="3"/>
  <c r="F207" i="3"/>
  <c r="G180" i="3"/>
  <c r="F112" i="3"/>
  <c r="G160" i="3"/>
  <c r="G174" i="3"/>
  <c r="F216" i="3"/>
  <c r="F274" i="3"/>
  <c r="F233" i="3"/>
  <c r="F265" i="3"/>
  <c r="G201" i="3"/>
  <c r="F214" i="3"/>
  <c r="F282" i="3"/>
  <c r="G145" i="3"/>
  <c r="G101" i="3"/>
  <c r="F252" i="3"/>
  <c r="G144" i="3"/>
  <c r="F226" i="3"/>
  <c r="F166" i="3"/>
  <c r="G117" i="3"/>
  <c r="G196" i="3"/>
  <c r="F122" i="3"/>
  <c r="G270" i="3"/>
  <c r="F136" i="3"/>
  <c r="G205" i="3"/>
  <c r="G257" i="3"/>
  <c r="G240" i="3"/>
  <c r="F204" i="3"/>
  <c r="G188" i="3"/>
  <c r="G288" i="3"/>
  <c r="F210" i="3"/>
  <c r="F276" i="3"/>
  <c r="F36" i="3"/>
  <c r="G200" i="3"/>
  <c r="F278" i="3"/>
  <c r="F195" i="3"/>
  <c r="G273" i="3"/>
  <c r="G268" i="3"/>
  <c r="G93" i="3"/>
  <c r="F290" i="3"/>
  <c r="F128" i="3"/>
  <c r="G231" i="3"/>
  <c r="F118" i="3"/>
  <c r="F244" i="3"/>
  <c r="F275" i="3"/>
  <c r="G269" i="3"/>
  <c r="F239" i="3"/>
  <c r="G146" i="3"/>
  <c r="F249" i="3"/>
  <c r="G249" i="3"/>
  <c r="F176" i="3"/>
  <c r="F92" i="3"/>
  <c r="F243" i="3"/>
  <c r="G97" i="3"/>
  <c r="G264" i="3"/>
  <c r="F209" i="3"/>
  <c r="G95" i="3"/>
  <c r="G166" i="3"/>
  <c r="G221" i="3"/>
  <c r="F127" i="3"/>
  <c r="F192" i="3"/>
  <c r="G245" i="3"/>
  <c r="F182" i="3"/>
  <c r="F30" i="3"/>
  <c r="F134" i="3"/>
  <c r="G142" i="3"/>
  <c r="F160" i="3"/>
  <c r="G131" i="3"/>
  <c r="F159" i="3"/>
  <c r="F262" i="3"/>
  <c r="F267" i="3"/>
  <c r="G173" i="3"/>
  <c r="G127" i="3"/>
  <c r="F256" i="3"/>
  <c r="F165" i="3"/>
  <c r="F162" i="3"/>
  <c r="G149" i="3"/>
  <c r="G167" i="3"/>
  <c r="G212" i="3"/>
  <c r="G91" i="3"/>
  <c r="F184" i="3"/>
  <c r="F154" i="3"/>
  <c r="F259" i="3"/>
  <c r="G210" i="3"/>
  <c r="F191" i="3"/>
  <c r="F237" i="3"/>
  <c r="G152" i="3"/>
  <c r="F180" i="3"/>
  <c r="F245" i="3"/>
  <c r="G223" i="3"/>
  <c r="G195" i="3"/>
  <c r="F281" i="3"/>
  <c r="G230" i="3"/>
  <c r="G211" i="3"/>
  <c r="F219" i="3"/>
  <c r="F263" i="3"/>
  <c r="G143" i="3"/>
  <c r="G266" i="3"/>
  <c r="G115" i="3"/>
  <c r="F151" i="3"/>
  <c r="F115" i="3"/>
  <c r="F197" i="3"/>
  <c r="G134" i="3"/>
  <c r="G248" i="3"/>
  <c r="G234" i="3"/>
  <c r="F167" i="3"/>
  <c r="F196" i="3"/>
  <c r="G220" i="3"/>
  <c r="G129" i="3"/>
  <c r="F270" i="3"/>
  <c r="G253" i="3"/>
  <c r="G112" i="3"/>
  <c r="G177" i="3"/>
  <c r="F190" i="3"/>
  <c r="F258" i="3"/>
  <c r="F93" i="3"/>
  <c r="F189" i="3"/>
  <c r="F201" i="3"/>
  <c r="M9" i="5"/>
  <c r="G277" i="3"/>
  <c r="G132" i="3"/>
  <c r="G275" i="3"/>
  <c r="F175" i="3"/>
  <c r="F248" i="3"/>
  <c r="F238" i="3"/>
  <c r="I9" i="5"/>
  <c r="G150" i="3"/>
  <c r="F217" i="3"/>
  <c r="G272" i="3"/>
  <c r="F117" i="3"/>
  <c r="F272" i="3"/>
  <c r="G235" i="3"/>
  <c r="G192" i="3"/>
  <c r="G218" i="3"/>
  <c r="G130" i="3"/>
  <c r="G96" i="3"/>
  <c r="G214" i="3"/>
  <c r="F283" i="3"/>
  <c r="G274" i="3"/>
  <c r="F289" i="3"/>
  <c r="G226" i="3"/>
  <c r="G104" i="3"/>
  <c r="F250" i="3"/>
  <c r="F129" i="3"/>
  <c r="G256" i="3"/>
  <c r="G282" i="3"/>
  <c r="F205" i="3"/>
  <c r="F137" i="3"/>
  <c r="G255" i="3"/>
  <c r="G286" i="3"/>
  <c r="G258" i="3"/>
  <c r="F273" i="3"/>
  <c r="G124" i="3"/>
  <c r="G290" i="3"/>
  <c r="G213" i="3"/>
  <c r="G156" i="3"/>
  <c r="G137" i="3"/>
  <c r="F150" i="3"/>
  <c r="F172" i="3"/>
  <c r="F218" i="3"/>
  <c r="F91" i="3"/>
  <c r="G283" i="3"/>
  <c r="F200" i="3"/>
  <c r="F108" i="3"/>
  <c r="G280" i="3"/>
  <c r="F199" i="3"/>
  <c r="F148" i="3"/>
  <c r="G191" i="3"/>
  <c r="F94" i="3"/>
  <c r="F98" i="3"/>
  <c r="G110" i="3"/>
  <c r="G148" i="3"/>
  <c r="F170" i="3"/>
  <c r="F181" i="3"/>
  <c r="G271" i="3"/>
  <c r="G203" i="3"/>
  <c r="G243" i="3"/>
  <c r="F215" i="3"/>
  <c r="F124" i="3"/>
  <c r="F261" i="3"/>
  <c r="G198" i="3"/>
  <c r="G170" i="3"/>
  <c r="G147" i="3"/>
  <c r="F231" i="3"/>
  <c r="F202" i="3"/>
  <c r="G141" i="3"/>
  <c r="G151" i="3"/>
  <c r="G193" i="3"/>
  <c r="F111" i="3"/>
  <c r="G126" i="3"/>
  <c r="G176" i="3"/>
  <c r="G241" i="3"/>
  <c r="F254" i="3"/>
  <c r="F121" i="3"/>
  <c r="F147" i="3"/>
  <c r="G197" i="3"/>
  <c r="G128" i="3"/>
  <c r="G225" i="3"/>
  <c r="G224" i="3"/>
  <c r="G238" i="3"/>
  <c r="F271" i="3"/>
  <c r="F221" i="3"/>
  <c r="F146" i="3"/>
  <c r="F178" i="3"/>
  <c r="F157" i="3"/>
  <c r="K9" i="5"/>
  <c r="G136" i="3"/>
  <c r="F208" i="3"/>
  <c r="F26" i="3"/>
  <c r="F140" i="3"/>
  <c r="G171" i="3"/>
  <c r="F158" i="3"/>
  <c r="G244" i="3"/>
  <c r="F99" i="3"/>
  <c r="G103" i="3"/>
  <c r="F279" i="3"/>
  <c r="F240" i="3"/>
  <c r="G99" i="3"/>
  <c r="F266" i="3"/>
  <c r="G279" i="3"/>
  <c r="G190" i="3"/>
  <c r="G106" i="3"/>
  <c r="F185" i="3"/>
  <c r="G263" i="3"/>
  <c r="G289" i="3"/>
  <c r="G237" i="3"/>
  <c r="F125" i="3"/>
  <c r="G265" i="3"/>
  <c r="F145" i="3"/>
  <c r="G157" i="3"/>
  <c r="G94" i="3"/>
  <c r="F161" i="3"/>
  <c r="F286" i="3"/>
  <c r="G216" i="3"/>
  <c r="G181" i="3"/>
  <c r="G105" i="3"/>
  <c r="F186" i="3"/>
  <c r="G175" i="3"/>
  <c r="G260" i="3"/>
  <c r="F163" i="3"/>
  <c r="G242" i="3"/>
  <c r="G262" i="3"/>
  <c r="F95" i="3"/>
  <c r="F141" i="3"/>
  <c r="F105" i="3"/>
  <c r="G186" i="3"/>
  <c r="F188" i="3"/>
  <c r="G138" i="3"/>
  <c r="F101" i="3"/>
  <c r="F203" i="3"/>
  <c r="G281" i="3"/>
  <c r="G155" i="3"/>
  <c r="F173" i="3"/>
  <c r="F135" i="3"/>
  <c r="G169" i="3"/>
  <c r="F104" i="3"/>
  <c r="G164" i="3"/>
  <c r="G172" i="3"/>
  <c r="F236" i="3"/>
  <c r="G163" i="3"/>
  <c r="G159" i="3"/>
  <c r="F139" i="3"/>
  <c r="G276" i="3"/>
  <c r="F220" i="3"/>
  <c r="G161" i="3"/>
  <c r="G109" i="3"/>
  <c r="G194" i="3"/>
  <c r="F119" i="3"/>
  <c r="G284" i="3"/>
  <c r="G111" i="3"/>
  <c r="F106" i="3"/>
  <c r="G236" i="3"/>
  <c r="F222" i="3"/>
  <c r="F255" i="3"/>
  <c r="F28" i="3"/>
  <c r="F246" i="3"/>
  <c r="G135" i="3"/>
  <c r="F213" i="3"/>
  <c r="F152" i="3"/>
  <c r="F223" i="3"/>
  <c r="F227" i="3"/>
  <c r="G215" i="3"/>
  <c r="G254" i="3"/>
  <c r="F130" i="3"/>
  <c r="F32" i="3"/>
  <c r="F183" i="3"/>
  <c r="G219" i="3"/>
  <c r="G250" i="3"/>
  <c r="F39" i="3"/>
  <c r="F280" i="3"/>
  <c r="F264" i="3"/>
  <c r="F229" i="3"/>
  <c r="F34" i="3"/>
  <c r="F120" i="3"/>
  <c r="F41" i="3"/>
  <c r="F142" i="3"/>
  <c r="G207" i="3"/>
  <c r="F211" i="3"/>
  <c r="F212" i="3"/>
  <c r="G229" i="3"/>
  <c r="F224" i="3"/>
  <c r="G120" i="3"/>
  <c r="F277" i="3"/>
  <c r="G125" i="3"/>
  <c r="F287" i="3"/>
  <c r="F116" i="3"/>
  <c r="F110" i="3"/>
  <c r="G116" i="3"/>
  <c r="G139" i="3"/>
  <c r="G239" i="3"/>
  <c r="F168" i="3"/>
  <c r="G118" i="3"/>
  <c r="F113" i="3"/>
  <c r="G121" i="3"/>
  <c r="G206" i="3"/>
  <c r="G287" i="3"/>
  <c r="F164" i="3"/>
  <c r="F123" i="3"/>
  <c r="F174" i="3"/>
  <c r="F242" i="3"/>
  <c r="F29" i="3"/>
  <c r="F37" i="3"/>
  <c r="G179" i="3"/>
  <c r="F102" i="3"/>
  <c r="F27" i="3"/>
  <c r="G182" i="3"/>
  <c r="F177" i="3"/>
  <c r="G185" i="3"/>
  <c r="G278" i="3"/>
  <c r="G119" i="3"/>
  <c r="F253" i="3"/>
  <c r="F96" i="3"/>
  <c r="F38" i="3"/>
  <c r="F234" i="3"/>
  <c r="G100" i="3"/>
  <c r="G168" i="3"/>
  <c r="F131" i="3"/>
  <c r="F198" i="3"/>
  <c r="G178" i="3"/>
  <c r="F269" i="3"/>
  <c r="F228" i="3"/>
  <c r="F31" i="3"/>
  <c r="F187" i="3"/>
  <c r="G285" i="3"/>
  <c r="G153" i="3"/>
  <c r="G232" i="3"/>
  <c r="F156" i="3"/>
  <c r="G123" i="3"/>
  <c r="G140" i="3"/>
  <c r="F179" i="3"/>
  <c r="G107" i="3"/>
  <c r="F40" i="3"/>
  <c r="G158" i="3"/>
  <c r="F232" i="3"/>
  <c r="G233" i="3"/>
  <c r="F193" i="3"/>
  <c r="G92" i="3"/>
  <c r="G259" i="3"/>
  <c r="F169" i="3"/>
  <c r="G187" i="3"/>
  <c r="F33" i="3"/>
  <c r="G204" i="3"/>
  <c r="G209" i="3"/>
  <c r="F97" i="3"/>
  <c r="G98" i="3"/>
  <c r="G133" i="3"/>
  <c r="F257" i="3"/>
  <c r="G228" i="3"/>
  <c r="F138" i="3"/>
  <c r="F114" i="3"/>
  <c r="G227" i="3"/>
  <c r="E8" i="7"/>
  <c r="C8" i="7"/>
  <c r="B8" i="7"/>
  <c r="D8" i="7"/>
  <c r="O8" i="1" l="1"/>
  <c r="O9" i="1"/>
  <c r="O10" i="1"/>
  <c r="O16" i="1"/>
  <c r="O18" i="1"/>
  <c r="O24" i="1"/>
  <c r="O25" i="1"/>
  <c r="O26" i="1"/>
  <c r="O32" i="1"/>
  <c r="O33" i="1"/>
  <c r="O34" i="1"/>
  <c r="O40" i="1"/>
  <c r="O41" i="1"/>
  <c r="O42" i="1"/>
  <c r="O48" i="1"/>
  <c r="O49" i="1"/>
  <c r="O50" i="1"/>
  <c r="O56" i="1"/>
  <c r="O57" i="1"/>
  <c r="O58" i="1"/>
  <c r="O64" i="1"/>
  <c r="O65" i="1"/>
  <c r="O66" i="1"/>
  <c r="O72" i="1"/>
  <c r="O73" i="1"/>
  <c r="O74" i="1"/>
  <c r="O80" i="1"/>
  <c r="O82" i="1"/>
  <c r="O88" i="1"/>
  <c r="O89" i="1"/>
  <c r="O90" i="1"/>
  <c r="O96" i="1"/>
  <c r="O97" i="1"/>
  <c r="O98" i="1"/>
  <c r="O104" i="1"/>
  <c r="O106" i="1"/>
  <c r="O112" i="1"/>
  <c r="O113" i="1"/>
  <c r="O114" i="1"/>
  <c r="O120" i="1"/>
  <c r="O121" i="1"/>
  <c r="O122" i="1"/>
  <c r="O128" i="1"/>
  <c r="O129" i="1"/>
  <c r="O130" i="1"/>
  <c r="O136" i="1"/>
  <c r="O137" i="1"/>
  <c r="O138" i="1"/>
  <c r="O144" i="1"/>
  <c r="O145" i="1"/>
  <c r="O146" i="1"/>
  <c r="O152" i="1"/>
  <c r="O153" i="1"/>
  <c r="O154" i="1"/>
  <c r="O160" i="1"/>
  <c r="O161" i="1"/>
  <c r="O162" i="1"/>
  <c r="O168" i="1"/>
  <c r="O170" i="1"/>
  <c r="O176" i="1"/>
  <c r="O177" i="1"/>
  <c r="O178" i="1"/>
  <c r="O184" i="1"/>
  <c r="O185" i="1"/>
  <c r="O186" i="1"/>
  <c r="O192" i="1"/>
  <c r="O193" i="1"/>
  <c r="O194" i="1"/>
  <c r="O200" i="1"/>
  <c r="O201" i="1"/>
  <c r="O2" i="1"/>
  <c r="N41" i="1"/>
  <c r="N59" i="1"/>
  <c r="N81" i="1"/>
  <c r="O81" i="1" s="1"/>
  <c r="N83" i="1"/>
  <c r="N145" i="1"/>
  <c r="N147" i="1"/>
  <c r="N169" i="1"/>
  <c r="O169" i="1" s="1"/>
  <c r="M2" i="1"/>
  <c r="N2" i="1" s="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O17" i="1" s="1"/>
  <c r="M18" i="1"/>
  <c r="N18" i="1" s="1"/>
  <c r="M19" i="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O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M82" i="1"/>
  <c r="N82" i="1" s="1"/>
  <c r="M83" i="1"/>
  <c r="O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O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M124" i="1"/>
  <c r="N124" i="1" s="1"/>
  <c r="M125" i="1"/>
  <c r="N125" i="1" s="1"/>
  <c r="M126" i="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M146" i="1"/>
  <c r="N146" i="1" s="1"/>
  <c r="M147" i="1"/>
  <c r="O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O187" i="1" l="1"/>
  <c r="O191" i="1"/>
  <c r="O151" i="1"/>
  <c r="O119" i="1"/>
  <c r="O79" i="1"/>
  <c r="O47" i="1"/>
  <c r="O31" i="1"/>
  <c r="N126" i="1"/>
  <c r="O126" i="1" s="1"/>
  <c r="O198" i="1"/>
  <c r="O190" i="1"/>
  <c r="O182" i="1"/>
  <c r="O174" i="1"/>
  <c r="O166" i="1"/>
  <c r="O158" i="1"/>
  <c r="O150" i="1"/>
  <c r="O142" i="1"/>
  <c r="O134" i="1"/>
  <c r="O118" i="1"/>
  <c r="O110" i="1"/>
  <c r="O102" i="1"/>
  <c r="O94" i="1"/>
  <c r="O86" i="1"/>
  <c r="O78" i="1"/>
  <c r="O70" i="1"/>
  <c r="O62" i="1"/>
  <c r="O54" i="1"/>
  <c r="O46" i="1"/>
  <c r="O38" i="1"/>
  <c r="O30" i="1"/>
  <c r="O22" i="1"/>
  <c r="O14" i="1"/>
  <c r="O6" i="1"/>
  <c r="O183" i="1"/>
  <c r="O167" i="1"/>
  <c r="O135" i="1"/>
  <c r="O111" i="1"/>
  <c r="O87" i="1"/>
  <c r="O63" i="1"/>
  <c r="O7" i="1"/>
  <c r="N123" i="1"/>
  <c r="O123" i="1" s="1"/>
  <c r="O197" i="1"/>
  <c r="O189" i="1"/>
  <c r="O181" i="1"/>
  <c r="O173" i="1"/>
  <c r="O165" i="1"/>
  <c r="O157" i="1"/>
  <c r="O149" i="1"/>
  <c r="O141" i="1"/>
  <c r="O133" i="1"/>
  <c r="O125" i="1"/>
  <c r="O117" i="1"/>
  <c r="O109" i="1"/>
  <c r="O101" i="1"/>
  <c r="O93" i="1"/>
  <c r="O85" i="1"/>
  <c r="O77" i="1"/>
  <c r="O69" i="1"/>
  <c r="O61" i="1"/>
  <c r="O53" i="1"/>
  <c r="O45" i="1"/>
  <c r="O37" i="1"/>
  <c r="O29" i="1"/>
  <c r="O21" i="1"/>
  <c r="O13" i="1"/>
  <c r="O5" i="1"/>
  <c r="O199" i="1"/>
  <c r="O159" i="1"/>
  <c r="O127" i="1"/>
  <c r="O95" i="1"/>
  <c r="O71" i="1"/>
  <c r="O39" i="1"/>
  <c r="O23" i="1"/>
  <c r="N19" i="1"/>
  <c r="O19" i="1" s="1"/>
  <c r="O196" i="1"/>
  <c r="O188" i="1"/>
  <c r="O180" i="1"/>
  <c r="O172" i="1"/>
  <c r="O164" i="1"/>
  <c r="O156" i="1"/>
  <c r="O148" i="1"/>
  <c r="O140" i="1"/>
  <c r="O132" i="1"/>
  <c r="O124" i="1"/>
  <c r="O116" i="1"/>
  <c r="O108" i="1"/>
  <c r="O100" i="1"/>
  <c r="O92" i="1"/>
  <c r="O84" i="1"/>
  <c r="O76" i="1"/>
  <c r="O68" i="1"/>
  <c r="O60" i="1"/>
  <c r="O52" i="1"/>
  <c r="O44" i="1"/>
  <c r="O36" i="1"/>
  <c r="O28" i="1"/>
  <c r="O20" i="1"/>
  <c r="O12" i="1"/>
  <c r="O4" i="1"/>
  <c r="O175" i="1"/>
  <c r="O143" i="1"/>
  <c r="O103" i="1"/>
  <c r="O55" i="1"/>
  <c r="O15" i="1"/>
  <c r="N187" i="1"/>
  <c r="O195" i="1"/>
  <c r="O179" i="1"/>
  <c r="O171" i="1"/>
  <c r="O163" i="1"/>
  <c r="O155" i="1"/>
  <c r="O139" i="1"/>
  <c r="O131" i="1"/>
  <c r="O115" i="1"/>
  <c r="O107" i="1"/>
  <c r="O99" i="1"/>
  <c r="O91" i="1"/>
  <c r="O75" i="1"/>
  <c r="O67" i="1"/>
  <c r="O51" i="1"/>
  <c r="O43" i="1"/>
  <c r="O35" i="1"/>
  <c r="O27" i="1"/>
  <c r="O11" i="1"/>
  <c r="O3" i="1"/>
</calcChain>
</file>

<file path=xl/sharedStrings.xml><?xml version="1.0" encoding="utf-8"?>
<sst xmlns="http://schemas.openxmlformats.org/spreadsheetml/2006/main" count="1764" uniqueCount="309">
  <si>
    <t>OrderID</t>
  </si>
  <si>
    <t>Date</t>
  </si>
  <si>
    <t>Region</t>
  </si>
  <si>
    <t>State</t>
  </si>
  <si>
    <t>Category</t>
  </si>
  <si>
    <t>Sub-Category</t>
  </si>
  <si>
    <t>Product</t>
  </si>
  <si>
    <t>Quantity</t>
  </si>
  <si>
    <t>Unit Price</t>
  </si>
  <si>
    <t>Discount</t>
  </si>
  <si>
    <t>Customer Type</t>
  </si>
  <si>
    <t>Salesperson</t>
  </si>
  <si>
    <t>2023-04-09</t>
  </si>
  <si>
    <t>East</t>
  </si>
  <si>
    <t>Bihar</t>
  </si>
  <si>
    <t>Electronics</t>
  </si>
  <si>
    <t>Monitor</t>
  </si>
  <si>
    <t>LG UltraWide</t>
  </si>
  <si>
    <t>B2C</t>
  </si>
  <si>
    <t>John</t>
  </si>
  <si>
    <t>2023-06-02</t>
  </si>
  <si>
    <t>North</t>
  </si>
  <si>
    <t>Delhi</t>
  </si>
  <si>
    <t>Furniture</t>
  </si>
  <si>
    <t>Chair</t>
  </si>
  <si>
    <t>Ergo Chair</t>
  </si>
  <si>
    <t>Amit</t>
  </si>
  <si>
    <t>2023-12-05</t>
  </si>
  <si>
    <t>South</t>
  </si>
  <si>
    <t>Tamil Nadu</t>
  </si>
  <si>
    <t>Grocery</t>
  </si>
  <si>
    <t>Milk</t>
  </si>
  <si>
    <t>Toned Milk</t>
  </si>
  <si>
    <t>B2B</t>
  </si>
  <si>
    <t>Ramesh</t>
  </si>
  <si>
    <t>2023-08-06</t>
  </si>
  <si>
    <t>Kerala</t>
  </si>
  <si>
    <t>Shelf</t>
  </si>
  <si>
    <t>Wall Shelf</t>
  </si>
  <si>
    <t>Priya</t>
  </si>
  <si>
    <t>2023-08-22</t>
  </si>
  <si>
    <t>Clothing</t>
  </si>
  <si>
    <t>T-Shirt</t>
  </si>
  <si>
    <t>Cotton Tee</t>
  </si>
  <si>
    <t>Aisha</t>
  </si>
  <si>
    <t>2023-08-01</t>
  </si>
  <si>
    <t>Telangana</t>
  </si>
  <si>
    <t>Jacket</t>
  </si>
  <si>
    <t>Leather Jacket</t>
  </si>
  <si>
    <t>2023-07-13</t>
  </si>
  <si>
    <t>Laptop</t>
  </si>
  <si>
    <t>Acer Aspire 5</t>
  </si>
  <si>
    <t>2023-12-27</t>
  </si>
  <si>
    <t>Dell 24-inch</t>
  </si>
  <si>
    <t>2023-06-10</t>
  </si>
  <si>
    <t>Rice</t>
  </si>
  <si>
    <t>Brown Rice</t>
  </si>
  <si>
    <t>2023-01-07</t>
  </si>
  <si>
    <t>Karnataka</t>
  </si>
  <si>
    <t>2023-02-19</t>
  </si>
  <si>
    <t>Haryana</t>
  </si>
  <si>
    <t>Snacks</t>
  </si>
  <si>
    <t>Nachos</t>
  </si>
  <si>
    <t>Vikram</t>
  </si>
  <si>
    <t>2023-12-10</t>
  </si>
  <si>
    <t>2023-06-09</t>
  </si>
  <si>
    <t>Oil</t>
  </si>
  <si>
    <t>Mustard Oil</t>
  </si>
  <si>
    <t>2023-04-22</t>
  </si>
  <si>
    <t>West</t>
  </si>
  <si>
    <t>Goa</t>
  </si>
  <si>
    <t>2023-07-19</t>
  </si>
  <si>
    <t>Rajasthan</t>
  </si>
  <si>
    <t>Sneha</t>
  </si>
  <si>
    <t>2023-07-09</t>
  </si>
  <si>
    <t>Gujarat</t>
  </si>
  <si>
    <t>Shirt</t>
  </si>
  <si>
    <t>Linen Shirt</t>
  </si>
  <si>
    <t>2023-07-26</t>
  </si>
  <si>
    <t>2023-09-22</t>
  </si>
  <si>
    <t>Punjab</t>
  </si>
  <si>
    <t>2023-09-30</t>
  </si>
  <si>
    <t>West Bengal</t>
  </si>
  <si>
    <t>Metal Shelf</t>
  </si>
  <si>
    <t>2023-04-07</t>
  </si>
  <si>
    <t>Headphones</t>
  </si>
  <si>
    <t>JBL Tune</t>
  </si>
  <si>
    <t>2023-03-16</t>
  </si>
  <si>
    <t>Full Cream Milk</t>
  </si>
  <si>
    <t>2023-08-16</t>
  </si>
  <si>
    <t>Graphic Tee</t>
  </si>
  <si>
    <t>2023-02-11</t>
  </si>
  <si>
    <t>2023-08-25</t>
  </si>
  <si>
    <t>Assam</t>
  </si>
  <si>
    <t>Office Chair Pro</t>
  </si>
  <si>
    <t>2023-05-17</t>
  </si>
  <si>
    <t>2023-12-23</t>
  </si>
  <si>
    <t>2023-11-10</t>
  </si>
  <si>
    <t>Wooden Chair</t>
  </si>
  <si>
    <t>2023-04-12</t>
  </si>
  <si>
    <t>Mobile</t>
  </si>
  <si>
    <t>iPhone 13</t>
  </si>
  <si>
    <t>2023-09-07</t>
  </si>
  <si>
    <t>Nisha</t>
  </si>
  <si>
    <t>2023-03-14</t>
  </si>
  <si>
    <t>2023-05-12</t>
  </si>
  <si>
    <t>Casual Shirt</t>
  </si>
  <si>
    <t>2023-05-13</t>
  </si>
  <si>
    <t>2023-07-24</t>
  </si>
  <si>
    <t>Cow Milk</t>
  </si>
  <si>
    <t>2023-01-02</t>
  </si>
  <si>
    <t>Maharashtra</t>
  </si>
  <si>
    <t>Basmati Rice</t>
  </si>
  <si>
    <t>2023-02-14</t>
  </si>
  <si>
    <t>UP</t>
  </si>
  <si>
    <t>Jeans</t>
  </si>
  <si>
    <t>Slim Fit</t>
  </si>
  <si>
    <t>2023-05-28</t>
  </si>
  <si>
    <t>Sony WH-1000XM4</t>
  </si>
  <si>
    <t>2023-05-06</t>
  </si>
  <si>
    <t>HP Pavilion</t>
  </si>
  <si>
    <t>2023-07-30</t>
  </si>
  <si>
    <t>2023-05-15</t>
  </si>
  <si>
    <t>Formal Shirt</t>
  </si>
  <si>
    <t>2023-07-10</t>
  </si>
  <si>
    <t>2023-02-17</t>
  </si>
  <si>
    <t>Dell Inspiron</t>
  </si>
  <si>
    <t>Samsung Curved</t>
  </si>
  <si>
    <t>2023-07-03</t>
  </si>
  <si>
    <t>Windcheater</t>
  </si>
  <si>
    <t>2023-03-11</t>
  </si>
  <si>
    <t>Table</t>
  </si>
  <si>
    <t>Dining Table</t>
  </si>
  <si>
    <t>2023-05-03</t>
  </si>
  <si>
    <t>2023-03-26</t>
  </si>
  <si>
    <t>Hooded Jacket</t>
  </si>
  <si>
    <t>2023-12-04</t>
  </si>
  <si>
    <t>2023-01-26</t>
  </si>
  <si>
    <t>2023-08-24</t>
  </si>
  <si>
    <t>2023-06-23</t>
  </si>
  <si>
    <t>2023-02-12</t>
  </si>
  <si>
    <t>Odisha</t>
  </si>
  <si>
    <t>Sunflower Oil</t>
  </si>
  <si>
    <t>2023-04-10</t>
  </si>
  <si>
    <t>2023-07-28</t>
  </si>
  <si>
    <t>2023-10-05</t>
  </si>
  <si>
    <t>2023-01-15</t>
  </si>
  <si>
    <t>2023-06-19</t>
  </si>
  <si>
    <t>Samsung S21</t>
  </si>
  <si>
    <t>2023-11-23</t>
  </si>
  <si>
    <t>Sona Masoori</t>
  </si>
  <si>
    <t>Boat Rockerz</t>
  </si>
  <si>
    <t>2023-09-23</t>
  </si>
  <si>
    <t>Chips</t>
  </si>
  <si>
    <t>2023-12-18</t>
  </si>
  <si>
    <t>Sofa</t>
  </si>
  <si>
    <t>3-Seater Sofa</t>
  </si>
  <si>
    <t>2023-08-08</t>
  </si>
  <si>
    <t>2023-07-05</t>
  </si>
  <si>
    <t>2023-05-18</t>
  </si>
  <si>
    <t>2023-06-07</t>
  </si>
  <si>
    <t>2023-06-05</t>
  </si>
  <si>
    <t>2023-05-26</t>
  </si>
  <si>
    <t>Biscuits</t>
  </si>
  <si>
    <t>2023-10-20</t>
  </si>
  <si>
    <t>2023-11-05</t>
  </si>
  <si>
    <t>2023-08-11</t>
  </si>
  <si>
    <t>Sports Tee</t>
  </si>
  <si>
    <t>2023-04-30</t>
  </si>
  <si>
    <t>2023-05-30</t>
  </si>
  <si>
    <t>2023-12-12</t>
  </si>
  <si>
    <t>2023-06-27</t>
  </si>
  <si>
    <t>Office Table</t>
  </si>
  <si>
    <t>2023-01-05</t>
  </si>
  <si>
    <t>Regular Fit</t>
  </si>
  <si>
    <t>2023-07-08</t>
  </si>
  <si>
    <t>2023-01-28</t>
  </si>
  <si>
    <t>2023-01-30</t>
  </si>
  <si>
    <t>2023-06-15</t>
  </si>
  <si>
    <t>2023-10-24</t>
  </si>
  <si>
    <t>Stretch Fit</t>
  </si>
  <si>
    <t>2023-10-30</t>
  </si>
  <si>
    <t>2023-12-31</t>
  </si>
  <si>
    <t>2023-08-05</t>
  </si>
  <si>
    <t>2023-12-19</t>
  </si>
  <si>
    <t>2023-07-01</t>
  </si>
  <si>
    <t>2023-03-28</t>
  </si>
  <si>
    <t>2023-10-01</t>
  </si>
  <si>
    <t>2023-02-05</t>
  </si>
  <si>
    <t>2023-09-11</t>
  </si>
  <si>
    <t>2023-01-31</t>
  </si>
  <si>
    <t>2023-06-26</t>
  </si>
  <si>
    <t>2023-11-26</t>
  </si>
  <si>
    <t>Fabric Sofa</t>
  </si>
  <si>
    <t>2023-02-01</t>
  </si>
  <si>
    <t>2023-10-29</t>
  </si>
  <si>
    <t>2023-12-29</t>
  </si>
  <si>
    <t>2023-03-10</t>
  </si>
  <si>
    <t>2023-12-22</t>
  </si>
  <si>
    <t>Olive Oil</t>
  </si>
  <si>
    <t>2023-01-14</t>
  </si>
  <si>
    <t>2023-02-04</t>
  </si>
  <si>
    <t>2023-01-09</t>
  </si>
  <si>
    <t>2023-08-30</t>
  </si>
  <si>
    <t>2023-01-24</t>
  </si>
  <si>
    <t>2023-07-17</t>
  </si>
  <si>
    <t>2023-12-09</t>
  </si>
  <si>
    <t>2023-09-27</t>
  </si>
  <si>
    <t>2023-09-05</t>
  </si>
  <si>
    <t>2023-12-28</t>
  </si>
  <si>
    <t>2023-07-06</t>
  </si>
  <si>
    <t>2023-06-22</t>
  </si>
  <si>
    <t>2023-02-16</t>
  </si>
  <si>
    <t>2023-06-14</t>
  </si>
  <si>
    <t>2023-10-12</t>
  </si>
  <si>
    <t>2023-09-16</t>
  </si>
  <si>
    <t>2023-09-14</t>
  </si>
  <si>
    <t>2023-05-20</t>
  </si>
  <si>
    <t>2023-10-19</t>
  </si>
  <si>
    <t>Redmi Note 12</t>
  </si>
  <si>
    <t>2023-09-09</t>
  </si>
  <si>
    <t>Wooden Shelf</t>
  </si>
  <si>
    <t>2023-03-03</t>
  </si>
  <si>
    <t>Coffee Table</t>
  </si>
  <si>
    <t>2023-10-26</t>
  </si>
  <si>
    <t>2024-01-01</t>
  </si>
  <si>
    <t>2023-01-29</t>
  </si>
  <si>
    <t>2023-02-09</t>
  </si>
  <si>
    <t>2023-06-18</t>
  </si>
  <si>
    <t>2023-11-30</t>
  </si>
  <si>
    <t>2023-04-06</t>
  </si>
  <si>
    <t>2023-01-12</t>
  </si>
  <si>
    <t>2023-06-25</t>
  </si>
  <si>
    <t>2023-06-04</t>
  </si>
  <si>
    <t>2023-07-31</t>
  </si>
  <si>
    <t>2023-11-29</t>
  </si>
  <si>
    <t>2023-05-27</t>
  </si>
  <si>
    <t>2023-01-25</t>
  </si>
  <si>
    <t>2023-03-08</t>
  </si>
  <si>
    <t>2023-11-13</t>
  </si>
  <si>
    <t>2023-01-01</t>
  </si>
  <si>
    <t>2023-10-11</t>
  </si>
  <si>
    <t>2023-07-16</t>
  </si>
  <si>
    <t>2023-03-13</t>
  </si>
  <si>
    <t>2023-09-20</t>
  </si>
  <si>
    <t>2023-09-17</t>
  </si>
  <si>
    <t>2023-01-03</t>
  </si>
  <si>
    <t>2023-10-03</t>
  </si>
  <si>
    <t>2023-12-15</t>
  </si>
  <si>
    <t>2023-03-23</t>
  </si>
  <si>
    <t>2023-05-04</t>
  </si>
  <si>
    <t>2023-09-19</t>
  </si>
  <si>
    <t>2023-05-19</t>
  </si>
  <si>
    <t>2023-03-01</t>
  </si>
  <si>
    <t>2023-12-14</t>
  </si>
  <si>
    <t>2023-02-08</t>
  </si>
  <si>
    <t>2023-07-04</t>
  </si>
  <si>
    <t>2023-06-12</t>
  </si>
  <si>
    <t>2023-10-09</t>
  </si>
  <si>
    <t>2023-11-06</t>
  </si>
  <si>
    <t>2023-08-31</t>
  </si>
  <si>
    <t>2023-05-29</t>
  </si>
  <si>
    <t>2023-08-20</t>
  </si>
  <si>
    <t>Total Sales</t>
  </si>
  <si>
    <r>
      <t>Goal:</t>
    </r>
    <r>
      <rPr>
        <sz val="11"/>
        <color theme="1"/>
        <rFont val="Calibri"/>
        <family val="2"/>
        <scheme val="minor"/>
      </rPr>
      <t xml:space="preserve"> Build a dashboard summarizing sales across Regions, States, and Categories.</t>
    </r>
  </si>
  <si>
    <t>Tasks:</t>
  </si>
  <si>
    <r>
      <t xml:space="preserve">Create a </t>
    </r>
    <r>
      <rPr>
        <b/>
        <sz val="11"/>
        <color theme="1"/>
        <rFont val="Calibri"/>
        <family val="2"/>
        <scheme val="minor"/>
      </rPr>
      <t>Pivot Table</t>
    </r>
    <r>
      <rPr>
        <sz val="11"/>
        <color theme="1"/>
        <rFont val="Calibri"/>
        <family val="2"/>
        <scheme val="minor"/>
      </rPr>
      <t>: Region → Sales, Quantity</t>
    </r>
  </si>
  <si>
    <r>
      <t xml:space="preserve">Add </t>
    </r>
    <r>
      <rPr>
        <b/>
        <sz val="11"/>
        <color theme="1"/>
        <rFont val="Calibri"/>
        <family val="2"/>
        <scheme val="minor"/>
      </rPr>
      <t>Slicers</t>
    </r>
    <r>
      <rPr>
        <sz val="11"/>
        <color theme="1"/>
        <rFont val="Calibri"/>
        <family val="2"/>
        <scheme val="minor"/>
      </rPr>
      <t>: Category, Customer Type, Salesperson</t>
    </r>
  </si>
  <si>
    <r>
      <t xml:space="preserve">Add a </t>
    </r>
    <r>
      <rPr>
        <b/>
        <sz val="11"/>
        <color theme="1"/>
        <rFont val="Calibri"/>
        <family val="2"/>
        <scheme val="minor"/>
      </rPr>
      <t>Map Chart</t>
    </r>
    <r>
      <rPr>
        <sz val="11"/>
        <color theme="1"/>
        <rFont val="Calibri"/>
        <family val="2"/>
        <scheme val="minor"/>
      </rPr>
      <t xml:space="preserve"> or State-wise bar chart</t>
    </r>
  </si>
  <si>
    <t>Display top 5 highest-sales states</t>
  </si>
  <si>
    <t>Show discount % vs sales correlation (scatter chart)</t>
  </si>
  <si>
    <t>Pivot Table: Salesperson → Sum(Sales), Avg Discount, Total Orders</t>
  </si>
  <si>
    <t>Add conditional formatting to highlight top 10% performers</t>
  </si>
  <si>
    <t>Use bar chart to show sales by salesperson</t>
  </si>
  <si>
    <t>Create KPI card (using shapes):</t>
  </si>
  <si>
    <t>Highest Salesperson</t>
  </si>
  <si>
    <t>Total Orders</t>
  </si>
  <si>
    <t>Avg Order Value</t>
  </si>
  <si>
    <r>
      <t>Concepts:</t>
    </r>
    <r>
      <rPr>
        <sz val="11"/>
        <color theme="1"/>
        <rFont val="Calibri"/>
        <family val="2"/>
        <scheme val="minor"/>
      </rPr>
      <t xml:space="preserve"> Pivot Charts, KPIs, Ranking, Conditional formatting.</t>
    </r>
  </si>
  <si>
    <r>
      <t>Goal:</t>
    </r>
    <r>
      <rPr>
        <sz val="11"/>
        <color theme="1"/>
        <rFont val="Calibri"/>
        <family val="2"/>
        <scheme val="minor"/>
      </rPr>
      <t xml:space="preserve"> Create a fully interactive dashboard.</t>
    </r>
  </si>
  <si>
    <t>Must include:</t>
  </si>
  <si>
    <t>Timeline for Date</t>
  </si>
  <si>
    <t>Slicers for Category, Region, Salesperson</t>
  </si>
  <si>
    <t>KPIs:</t>
  </si>
  <si>
    <t>Total Quantity</t>
  </si>
  <si>
    <t>Charts:</t>
  </si>
  <si>
    <t>Sales Trend</t>
  </si>
  <si>
    <t>Sales by Category</t>
  </si>
  <si>
    <t>Sales by Region</t>
  </si>
  <si>
    <r>
      <t>Concepts:</t>
    </r>
    <r>
      <rPr>
        <sz val="11"/>
        <color theme="1"/>
        <rFont val="Calibri"/>
        <family val="2"/>
        <scheme val="minor"/>
      </rPr>
      <t xml:space="preserve"> Dashboard design, interactivity, data modeling.</t>
    </r>
  </si>
  <si>
    <r>
      <t>Goal:</t>
    </r>
    <r>
      <rPr>
        <sz val="11"/>
        <color theme="1"/>
        <rFont val="Calibri"/>
        <family val="2"/>
        <scheme val="minor"/>
      </rPr>
      <t xml:space="preserve"> create an interactive dashboard to analyse the sales person performance</t>
    </r>
  </si>
  <si>
    <t>Sales</t>
  </si>
  <si>
    <t>Discount_amount</t>
  </si>
  <si>
    <t>Sale_After_Discount</t>
  </si>
  <si>
    <t>Row Labels</t>
  </si>
  <si>
    <t>Grand Total</t>
  </si>
  <si>
    <t>Sum of Quantity</t>
  </si>
  <si>
    <t>Sum of Sale_After_Discount</t>
  </si>
  <si>
    <t>Create a Pivot Table: Region → Sales, Quantity</t>
  </si>
  <si>
    <t>Add Slicers: Category, Customer Type, Salesperson</t>
  </si>
  <si>
    <t>Add a Map Chart or State-wise bar chart</t>
  </si>
  <si>
    <t>Sum of Sales</t>
  </si>
  <si>
    <t>Average of Discount</t>
  </si>
  <si>
    <t>Count of OrderID</t>
  </si>
  <si>
    <t>Create KPI card (using shapes): Highest Salesperson , Total Orders , Avg Order Value</t>
  </si>
  <si>
    <t>Average of Sale_After_Discount</t>
  </si>
  <si>
    <t>Average of Sale_After_Discount2</t>
  </si>
  <si>
    <t>KPI</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</si>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</sst>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4009]\ * #,##0.00_ ;_ [$₹-4009]\ * \-#,##0.00_ ;_ [$₹-4009]\ * &quot;-&quot;??_ ;_ @_ "/>
    <numFmt numFmtId="165" formatCode="[&gt;=1000000]\ \₹\ 0.00,,&quot;M&quot;;[&gt;=100000]\ \₹\ 0.00,&quot;K&quot;;0.00"/>
    <numFmt numFmtId="166" formatCode="[&gt;=1000000]\ \₹\ 0.00,,&quot;M&quot;;[&gt;=1000]\ \₹\ 0.00,&quot;K&quot;;0.00"/>
  </numFmts>
  <fonts count="8">
    <font>
      <sz val="11"/>
      <color theme="1"/>
      <name val="Calibri"/>
      <family val="2"/>
      <scheme val="minor"/>
    </font>
    <font>
      <b/>
      <sz val="11"/>
      <color theme="1"/>
      <name val="Calibri"/>
      <family val="2"/>
      <scheme val="minor"/>
    </font>
    <font>
      <sz val="10"/>
      <color theme="1"/>
      <name val="Arial Unicode MS"/>
    </font>
    <font>
      <b/>
      <sz val="24"/>
      <color theme="1"/>
      <name val="Calibri"/>
      <family val="2"/>
      <scheme val="minor"/>
    </font>
    <font>
      <b/>
      <sz val="18"/>
      <color theme="1"/>
      <name val="Calibri"/>
      <family val="2"/>
      <scheme val="minor"/>
    </font>
    <font>
      <b/>
      <sz val="14"/>
      <color theme="1"/>
      <name val="Calibri"/>
      <family val="2"/>
      <scheme val="minor"/>
    </font>
    <font>
      <b/>
      <sz val="14"/>
      <color rgb="FF000000"/>
      <name val="Calibri"/>
      <family val="2"/>
      <scheme val="minor"/>
    </font>
    <font>
      <b/>
      <sz val="11"/>
      <color theme="0"/>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3" tint="0.79998168889431442"/>
        <bgColor indexed="64"/>
      </patternFill>
    </fill>
    <fill>
      <patternFill patternType="solid">
        <fgColor theme="3"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thin">
        <color theme="4" tint="0.39997558519241921"/>
      </bottom>
      <diagonal/>
    </border>
    <border>
      <left/>
      <right/>
      <top style="thin">
        <color indexed="64"/>
      </top>
      <bottom style="thin">
        <color theme="4" tint="0.39997558519241921"/>
      </bottom>
      <diagonal/>
    </border>
    <border>
      <left/>
      <right/>
      <top style="thin">
        <color indexed="64"/>
      </top>
      <bottom style="thin">
        <color indexed="64"/>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s>
  <cellStyleXfs count="1">
    <xf numFmtId="0" fontId="0" fillId="0" borderId="0"/>
  </cellStyleXfs>
  <cellXfs count="97">
    <xf numFmtId="0" fontId="0" fillId="0" borderId="0" xfId="0"/>
    <xf numFmtId="0" fontId="3" fillId="0" borderId="0" xfId="0" applyFont="1" applyAlignment="1">
      <alignment vertical="center"/>
    </xf>
    <xf numFmtId="0" fontId="0" fillId="0" borderId="0" xfId="0" applyAlignment="1">
      <alignment vertical="center" wrapText="1"/>
    </xf>
    <xf numFmtId="14" fontId="0" fillId="0" borderId="0" xfId="0" applyNumberFormat="1" applyAlignment="1">
      <alignment vertical="center" wrapText="1"/>
    </xf>
    <xf numFmtId="0" fontId="1" fillId="0" borderId="0" xfId="0" applyFont="1"/>
    <xf numFmtId="0" fontId="0" fillId="0" borderId="0" xfId="0" applyAlignment="1">
      <alignment horizontal="left" vertical="center" indent="1"/>
    </xf>
    <xf numFmtId="0" fontId="0" fillId="0" borderId="0" xfId="0" applyAlignment="1">
      <alignment horizontal="left" vertical="center" indent="2"/>
    </xf>
    <xf numFmtId="0" fontId="4" fillId="0" borderId="0" xfId="0" applyFont="1" applyAlignment="1">
      <alignment vertical="center"/>
    </xf>
    <xf numFmtId="0" fontId="2" fillId="0" borderId="0" xfId="0" applyFont="1" applyAlignment="1">
      <alignment horizontal="left" vertical="center" indent="1"/>
    </xf>
    <xf numFmtId="0" fontId="2" fillId="0" borderId="0" xfId="0" applyFont="1" applyAlignment="1">
      <alignment horizontal="left" vertical="center" indent="2"/>
    </xf>
    <xf numFmtId="14" fontId="0" fillId="0" borderId="0" xfId="0" applyNumberFormat="1"/>
    <xf numFmtId="2" fontId="0" fillId="0" borderId="0" xfId="0" applyNumberFormat="1"/>
    <xf numFmtId="1" fontId="0" fillId="0" borderId="0" xfId="0" applyNumberFormat="1"/>
    <xf numFmtId="164"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pivotButton="1" applyBorder="1"/>
    <xf numFmtId="0" fontId="0" fillId="0" borderId="3" xfId="0" applyBorder="1"/>
    <xf numFmtId="0" fontId="0" fillId="0" borderId="5" xfId="0" applyBorder="1" applyAlignment="1">
      <alignment horizontal="left"/>
    </xf>
    <xf numFmtId="1" fontId="0" fillId="0" borderId="6" xfId="0" applyNumberFormat="1" applyBorder="1"/>
    <xf numFmtId="1" fontId="0" fillId="0" borderId="9" xfId="0" applyNumberFormat="1" applyBorder="1"/>
    <xf numFmtId="1" fontId="0" fillId="0" borderId="4" xfId="0" applyNumberFormat="1"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applyBorder="1" applyAlignment="1">
      <alignment horizontal="left"/>
    </xf>
    <xf numFmtId="0" fontId="0" fillId="0" borderId="13" xfId="0" applyBorder="1"/>
    <xf numFmtId="0" fontId="0" fillId="0" borderId="14" xfId="0" applyBorder="1"/>
    <xf numFmtId="165" fontId="0" fillId="0" borderId="7" xfId="0" applyNumberFormat="1" applyBorder="1"/>
    <xf numFmtId="166" fontId="0" fillId="0" borderId="2" xfId="0" applyNumberFormat="1" applyBorder="1"/>
    <xf numFmtId="166" fontId="0" fillId="0" borderId="5" xfId="0" applyNumberFormat="1" applyBorder="1"/>
    <xf numFmtId="0" fontId="0" fillId="0" borderId="1" xfId="0" applyBorder="1"/>
    <xf numFmtId="165" fontId="0" fillId="0" borderId="10" xfId="0" applyNumberFormat="1" applyBorder="1"/>
    <xf numFmtId="165" fontId="0" fillId="0" borderId="11" xfId="0" applyNumberFormat="1" applyBorder="1"/>
    <xf numFmtId="165" fontId="0" fillId="0" borderId="12" xfId="0" applyNumberFormat="1" applyBorder="1"/>
    <xf numFmtId="0" fontId="1" fillId="2" borderId="15" xfId="0" applyFont="1" applyFill="1" applyBorder="1"/>
    <xf numFmtId="166" fontId="0" fillId="0" borderId="0" xfId="0" applyNumberFormat="1"/>
    <xf numFmtId="0" fontId="1" fillId="5" borderId="15" xfId="0" applyFont="1" applyFill="1" applyBorder="1"/>
    <xf numFmtId="0" fontId="1" fillId="4" borderId="0" xfId="0" applyFont="1" applyFill="1"/>
    <xf numFmtId="2" fontId="0" fillId="0" borderId="6" xfId="0" applyNumberFormat="1" applyBorder="1"/>
    <xf numFmtId="2" fontId="0" fillId="0" borderId="9" xfId="0" applyNumberFormat="1" applyBorder="1"/>
    <xf numFmtId="2" fontId="0" fillId="0" borderId="4" xfId="0" applyNumberFormat="1" applyBorder="1"/>
    <xf numFmtId="166" fontId="0" fillId="0" borderId="7" xfId="0" applyNumberFormat="1" applyBorder="1"/>
    <xf numFmtId="0" fontId="1" fillId="2" borderId="16" xfId="0" applyFont="1" applyFill="1" applyBorder="1"/>
    <xf numFmtId="0" fontId="5" fillId="3" borderId="0" xfId="0" applyFont="1" applyFill="1"/>
    <xf numFmtId="0" fontId="6" fillId="3" borderId="0" xfId="0" applyFont="1" applyFill="1" applyAlignment="1">
      <alignment horizontal="left" vertical="center" indent="1"/>
    </xf>
    <xf numFmtId="164" fontId="0" fillId="0" borderId="12" xfId="0" applyNumberFormat="1" applyBorder="1"/>
    <xf numFmtId="166" fontId="0" fillId="0" borderId="10" xfId="0" applyNumberFormat="1" applyBorder="1"/>
    <xf numFmtId="166" fontId="0" fillId="0" borderId="11" xfId="0" applyNumberFormat="1" applyBorder="1"/>
    <xf numFmtId="166" fontId="0" fillId="0" borderId="1" xfId="0" applyNumberFormat="1" applyBorder="1"/>
    <xf numFmtId="1" fontId="0" fillId="0" borderId="12" xfId="0" applyNumberFormat="1" applyBorder="1"/>
    <xf numFmtId="2" fontId="0" fillId="0" borderId="8" xfId="0" applyNumberFormat="1" applyBorder="1"/>
    <xf numFmtId="2" fontId="0" fillId="0" borderId="3" xfId="0" applyNumberFormat="1" applyBorder="1"/>
    <xf numFmtId="164" fontId="0" fillId="0" borderId="7" xfId="0" applyNumberFormat="1" applyBorder="1"/>
    <xf numFmtId="0" fontId="0" fillId="0" borderId="17" xfId="0" applyBorder="1"/>
    <xf numFmtId="166" fontId="0" fillId="0" borderId="12" xfId="0" applyNumberFormat="1" applyBorder="1"/>
    <xf numFmtId="0" fontId="7" fillId="6" borderId="0" xfId="0" applyFont="1" applyFill="1"/>
    <xf numFmtId="14" fontId="7" fillId="6" borderId="18" xfId="0" applyNumberFormat="1" applyFont="1" applyFill="1" applyBorder="1"/>
    <xf numFmtId="0" fontId="7" fillId="6" borderId="18" xfId="0" applyFont="1" applyFill="1" applyBorder="1"/>
    <xf numFmtId="1" fontId="7" fillId="6" borderId="18" xfId="0" applyNumberFormat="1" applyFont="1" applyFill="1" applyBorder="1"/>
    <xf numFmtId="164" fontId="7" fillId="6" borderId="18" xfId="0" applyNumberFormat="1" applyFont="1" applyFill="1" applyBorder="1"/>
    <xf numFmtId="2" fontId="7" fillId="6" borderId="18" xfId="0" applyNumberFormat="1" applyFont="1" applyFill="1" applyBorder="1"/>
    <xf numFmtId="0" fontId="0" fillId="7" borderId="19" xfId="0" applyFill="1" applyBorder="1"/>
    <xf numFmtId="14" fontId="0" fillId="7" borderId="20" xfId="0" applyNumberFormat="1" applyFill="1" applyBorder="1"/>
    <xf numFmtId="0" fontId="0" fillId="7" borderId="20" xfId="0" applyFill="1" applyBorder="1"/>
    <xf numFmtId="1" fontId="0" fillId="7" borderId="20" xfId="0" applyNumberFormat="1" applyFill="1" applyBorder="1"/>
    <xf numFmtId="164" fontId="0" fillId="7" borderId="20" xfId="0" applyNumberFormat="1" applyFill="1" applyBorder="1"/>
    <xf numFmtId="2" fontId="0" fillId="7" borderId="20" xfId="0" applyNumberFormat="1" applyFill="1" applyBorder="1"/>
    <xf numFmtId="0" fontId="0" fillId="2" borderId="21" xfId="0" applyFill="1" applyBorder="1"/>
    <xf numFmtId="14" fontId="0" fillId="2" borderId="22" xfId="0" applyNumberFormat="1" applyFill="1" applyBorder="1"/>
    <xf numFmtId="0" fontId="0" fillId="2" borderId="22" xfId="0" applyFill="1" applyBorder="1"/>
    <xf numFmtId="1" fontId="0" fillId="2" borderId="22" xfId="0" applyNumberFormat="1" applyFill="1" applyBorder="1"/>
    <xf numFmtId="164" fontId="0" fillId="2" borderId="22" xfId="0" applyNumberFormat="1" applyFill="1" applyBorder="1"/>
    <xf numFmtId="2" fontId="0" fillId="2" borderId="22" xfId="0" applyNumberFormat="1" applyFill="1" applyBorder="1"/>
    <xf numFmtId="0" fontId="0" fillId="7" borderId="21" xfId="0" applyFill="1" applyBorder="1"/>
    <xf numFmtId="14" fontId="0" fillId="7" borderId="22" xfId="0" applyNumberFormat="1" applyFill="1" applyBorder="1"/>
    <xf numFmtId="0" fontId="0" fillId="7" borderId="22" xfId="0" applyFill="1" applyBorder="1"/>
    <xf numFmtId="1" fontId="0" fillId="7" borderId="22" xfId="0" applyNumberFormat="1" applyFill="1" applyBorder="1"/>
    <xf numFmtId="164" fontId="0" fillId="7" borderId="22" xfId="0" applyNumberFormat="1" applyFill="1" applyBorder="1"/>
    <xf numFmtId="2" fontId="0" fillId="7" borderId="22" xfId="0" applyNumberFormat="1" applyFill="1" applyBorder="1"/>
    <xf numFmtId="166" fontId="0" fillId="0" borderId="13" xfId="0" applyNumberFormat="1" applyBorder="1"/>
    <xf numFmtId="1" fontId="0" fillId="0" borderId="17" xfId="0" applyNumberFormat="1" applyBorder="1"/>
    <xf numFmtId="166" fontId="0" fillId="0" borderId="17" xfId="0" applyNumberFormat="1" applyBorder="1"/>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cellXfs>
  <cellStyles count="1">
    <cellStyle name="Normal" xfId="0" builtinId="0"/>
  </cellStyles>
  <dxfs count="111">
    <dxf>
      <font>
        <color rgb="FF006100"/>
      </font>
      <fill>
        <patternFill>
          <bgColor rgb="FFC6EFCE"/>
        </patternFill>
      </fill>
    </dxf>
    <dxf>
      <font>
        <color rgb="FF9C0006"/>
      </font>
      <fill>
        <patternFill>
          <bgColor rgb="FFFFC7CE"/>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gt;=1000000]\ \₹\ 0.00,,&quot;M&quot;;[&gt;=1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gt;=1000000]\ \₹\ 0.00,,&quot;M&quot;;[&gt;=1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gt;=1000000]\ \₹\ 0.00,,&quot;M&quot;;[&gt;=1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gt;=1000000]\ \₹\ 0.00,,&quot;M&quot;;[&gt;=1000]\ \₹\ 0.00,&quot;K&quot;;0.00"/>
    </dxf>
    <dxf>
      <numFmt numFmtId="166" formatCode="[&gt;=1000000]\ \₹\ 0.00,,&quot;M&quot;;[&gt;=1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gt;=1000000]\ \₹\ 0.00,,&quot;M&quot;;[&gt;=1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gt;=1000000]\ \₹\ 0.00,,&quot;M&quot;;[&gt;=1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gt;=1000000]\ \₹\ 0.00,,&quot;M&quot;;[&gt;=1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gt;=1000000]\ \₹\ 0.00,,&quot;M&quot;;[&gt;=1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gt;=1000000]\ \₹\ 0.00,,&quot;M&quot;;[&gt;=1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gt;=1000000]\ \₹\ 0.00,,&quot;M&quot;;[&gt;=1000]\ \₹\ 0.00,&quot;K&quot;;0.00"/>
    </dxf>
    <dxf>
      <numFmt numFmtId="165" formatCode="[&gt;=1000000]\ \₹\ 0.00,,&quot;M&quot;;[&gt;=100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gt;=1000000]\ \₹\ 0.00,,&quot;M&quot;;[&gt;=1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gt;=1000000]\ \₹\ 0.00,,&quot;M&quot;;[&gt;=100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gt;=1000000]\ \₹\ 0.00,,&quot;M&quot;;[&gt;=100000]\ \₹\ 0.00,&quot;K&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i val="0"/>
        <sz val="14"/>
        <color rgb="FF1F3A5F"/>
        <name val="Calibri"/>
        <family val="2"/>
        <scheme val="minor"/>
      </font>
      <fill>
        <patternFill>
          <fgColor theme="3" tint="-0.24994659260841701"/>
          <bgColor theme="3" tint="0.79995117038483843"/>
        </patternFill>
      </fill>
    </dxf>
    <dxf>
      <font>
        <b/>
        <i val="0"/>
        <sz val="14"/>
        <color theme="0"/>
        <name val="Cambria"/>
        <family val="1"/>
        <scheme val="major"/>
      </font>
      <fill>
        <patternFill>
          <bgColor theme="3"/>
        </patternFill>
      </fill>
    </dxf>
  </dxfs>
  <tableStyles count="1" defaultTableStyle="TableStyleMedium9" defaultPivotStyle="PivotStyleLight16">
    <tableStyle name="Slicer Style 1" pivot="0" table="0" count="4" xr9:uid="{F59D3B76-9EBA-4E5A-8A45-AAD29C26EF1E}">
      <tableStyleElement type="wholeTable" dxfId="110"/>
      <tableStyleElement type="headerRow" dxfId="109"/>
    </tableStyle>
  </tableStyles>
  <colors>
    <mruColors>
      <color rgb="FF1F3A5F"/>
      <color rgb="FF2EC4B6"/>
      <color rgb="FFF4F6F8"/>
      <color rgb="FFF7923F"/>
      <color rgb="FF8C3FC5"/>
      <color rgb="FFE56D09"/>
      <color rgb="FF003296"/>
    </mruColors>
  </colors>
  <extLst>
    <ext xmlns:x14="http://schemas.microsoft.com/office/spreadsheetml/2009/9/main" uri="{46F421CA-312F-682f-3DD2-61675219B42D}">
      <x14:dxfs count="2">
        <dxf>
          <font>
            <b val="0"/>
            <i val="0"/>
            <sz val="10"/>
            <name val="Calibri"/>
            <family val="2"/>
            <scheme val="minor"/>
          </font>
        </dxf>
        <dxf>
          <font>
            <b/>
            <i val="0"/>
            <sz val="11"/>
            <name val="Calibri"/>
            <family val="2"/>
            <scheme val="minor"/>
          </font>
          <fill>
            <patternFill>
              <fgColor theme="3" tint="0.39994506668294322"/>
              <bgColor theme="3"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[retail_sales_dataset.xlsx]Pivot_1!PivotTable2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Pivot_1!$C$25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Pivot_1!$B$26:$B$42</c:f>
              <c:strCache>
                <c:ptCount val="16"/>
                <c:pt idx="0">
                  <c:v>Assam</c:v>
                </c:pt>
                <c:pt idx="1">
                  <c:v>Bihar</c:v>
                </c:pt>
                <c:pt idx="2">
                  <c:v>Delhi</c:v>
                </c:pt>
                <c:pt idx="3">
                  <c:v>Goa</c:v>
                </c:pt>
                <c:pt idx="4">
                  <c:v>Gujarat</c:v>
                </c:pt>
                <c:pt idx="5">
                  <c:v>Haryana</c:v>
                </c:pt>
                <c:pt idx="6">
                  <c:v>Karnataka</c:v>
                </c:pt>
                <c:pt idx="7">
                  <c:v>Kerala</c:v>
                </c:pt>
                <c:pt idx="8">
                  <c:v>Maharashtra</c:v>
                </c:pt>
                <c:pt idx="9">
                  <c:v>Odisha</c:v>
                </c:pt>
                <c:pt idx="10">
                  <c:v>Punjab</c:v>
                </c:pt>
                <c:pt idx="11">
                  <c:v>Rajasthan</c:v>
                </c:pt>
                <c:pt idx="12">
                  <c:v>Tamil Nadu</c:v>
                </c:pt>
                <c:pt idx="13">
                  <c:v>Telangana</c:v>
                </c:pt>
                <c:pt idx="14">
                  <c:v>UP</c:v>
                </c:pt>
                <c:pt idx="15">
                  <c:v>West Bengal</c:v>
                </c:pt>
              </c:strCache>
            </c:strRef>
          </c:cat>
          <c:val>
            <c:numRef>
              <c:f>Pivot_1!$C$26:$C$42</c:f>
              <c:numCache>
                <c:formatCode>[&gt;=1000000]\ \₹\ 0.00,,"M";[&gt;=100000]\ \₹\ 0.00,"K";0.00</c:formatCode>
                <c:ptCount val="16"/>
                <c:pt idx="0">
                  <c:v>565601.73</c:v>
                </c:pt>
                <c:pt idx="1">
                  <c:v>989185.77999999991</c:v>
                </c:pt>
                <c:pt idx="2">
                  <c:v>1709818.94</c:v>
                </c:pt>
                <c:pt idx="3">
                  <c:v>1427349.63</c:v>
                </c:pt>
                <c:pt idx="4">
                  <c:v>1254598.33</c:v>
                </c:pt>
                <c:pt idx="5">
                  <c:v>2522754.8100000005</c:v>
                </c:pt>
                <c:pt idx="6">
                  <c:v>1573671.9899999998</c:v>
                </c:pt>
                <c:pt idx="7">
                  <c:v>1950815.96</c:v>
                </c:pt>
                <c:pt idx="8">
                  <c:v>2090269.9</c:v>
                </c:pt>
                <c:pt idx="9">
                  <c:v>1079236.8299999998</c:v>
                </c:pt>
                <c:pt idx="10">
                  <c:v>1205724.4100000001</c:v>
                </c:pt>
                <c:pt idx="11">
                  <c:v>1985123.41</c:v>
                </c:pt>
                <c:pt idx="12">
                  <c:v>1514650.6400000001</c:v>
                </c:pt>
                <c:pt idx="13">
                  <c:v>1166176.6599999999</c:v>
                </c:pt>
                <c:pt idx="14">
                  <c:v>1269763.49</c:v>
                </c:pt>
                <c:pt idx="15">
                  <c:v>1700239.0100000002</c:v>
                </c:pt>
              </c:numCache>
            </c:numRef>
          </c:val>
          <c:extLst>
            <c:ext xmlns:c16="http://schemas.microsoft.com/office/drawing/2014/chart" uri="{C3380CC4-5D6E-409C-BE32-E72D297353CC}">
              <c16:uniqueId val="{00000000-59F2-47E4-AA35-47AC8AA96673}"/>
            </c:ext>
          </c:extLst>
        </c:ser>
        <c:dLbls>
          <c:dLblPos val="outEnd"/>
          <c:showLegendKey val="0"/>
          <c:showVal val="1"/>
          <c:showCatName val="0"/>
          <c:showSerName val="0"/>
          <c:showPercent val="0"/>
          <c:showBubbleSize val="0"/>
        </c:dLbls>
        <c:gapWidth val="182"/>
        <c:axId val="1479812992"/>
        <c:axId val="1479816352"/>
      </c:barChart>
      <c:catAx>
        <c:axId val="147981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16352"/>
        <c:crosses val="autoZero"/>
        <c:auto val="1"/>
        <c:lblAlgn val="ctr"/>
        <c:lblOffset val="100"/>
        <c:noMultiLvlLbl val="0"/>
      </c:catAx>
      <c:valAx>
        <c:axId val="1479816352"/>
        <c:scaling>
          <c:orientation val="minMax"/>
        </c:scaling>
        <c:delete val="1"/>
        <c:axPos val="b"/>
        <c:numFmt formatCode="[&gt;=1000000]\ \₹\ 0.00,,&quot;M&quot;;[&gt;=100000]\ \₹\ 0.00,&quot;K&quot;;0.00" sourceLinked="1"/>
        <c:majorTickMark val="none"/>
        <c:minorTickMark val="none"/>
        <c:tickLblPos val="nextTo"/>
        <c:crossAx val="147981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Discount % VS Sales Correlation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Pivot_1!$G$90</c:f>
              <c:strCache>
                <c:ptCount val="1"/>
                <c:pt idx="0">
                  <c:v>Average of Discount</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xVal>
            <c:numRef>
              <c:f>Pivot_1!$G$91:$G$290</c:f>
              <c:numCache>
                <c:formatCode>General</c:formatCode>
                <c:ptCount val="200"/>
                <c:pt idx="0">
                  <c:v>7.0000000000000007E-2</c:v>
                </c:pt>
                <c:pt idx="1">
                  <c:v>0.04</c:v>
                </c:pt>
                <c:pt idx="2">
                  <c:v>0.1</c:v>
                </c:pt>
                <c:pt idx="3">
                  <c:v>0.03</c:v>
                </c:pt>
                <c:pt idx="4">
                  <c:v>0.18</c:v>
                </c:pt>
                <c:pt idx="5">
                  <c:v>0.2</c:v>
                </c:pt>
                <c:pt idx="6">
                  <c:v>0</c:v>
                </c:pt>
                <c:pt idx="7">
                  <c:v>0.11</c:v>
                </c:pt>
                <c:pt idx="8">
                  <c:v>0.04</c:v>
                </c:pt>
                <c:pt idx="9">
                  <c:v>0.11</c:v>
                </c:pt>
                <c:pt idx="10">
                  <c:v>0.02</c:v>
                </c:pt>
                <c:pt idx="11">
                  <c:v>0.18</c:v>
                </c:pt>
                <c:pt idx="12">
                  <c:v>0.11</c:v>
                </c:pt>
                <c:pt idx="13">
                  <c:v>0.03</c:v>
                </c:pt>
                <c:pt idx="14">
                  <c:v>0.02</c:v>
                </c:pt>
                <c:pt idx="15">
                  <c:v>0.12</c:v>
                </c:pt>
                <c:pt idx="16">
                  <c:v>0.12</c:v>
                </c:pt>
                <c:pt idx="17">
                  <c:v>0.04</c:v>
                </c:pt>
                <c:pt idx="18">
                  <c:v>0.16</c:v>
                </c:pt>
                <c:pt idx="19">
                  <c:v>0.19</c:v>
                </c:pt>
                <c:pt idx="20">
                  <c:v>7.0000000000000007E-2</c:v>
                </c:pt>
                <c:pt idx="21">
                  <c:v>0.12</c:v>
                </c:pt>
                <c:pt idx="22">
                  <c:v>0.04</c:v>
                </c:pt>
                <c:pt idx="23">
                  <c:v>7.0000000000000007E-2</c:v>
                </c:pt>
                <c:pt idx="24">
                  <c:v>0.06</c:v>
                </c:pt>
                <c:pt idx="25">
                  <c:v>0.14000000000000001</c:v>
                </c:pt>
                <c:pt idx="26">
                  <c:v>0.13</c:v>
                </c:pt>
                <c:pt idx="27">
                  <c:v>0.2</c:v>
                </c:pt>
                <c:pt idx="28">
                  <c:v>0.05</c:v>
                </c:pt>
                <c:pt idx="29">
                  <c:v>0.09</c:v>
                </c:pt>
                <c:pt idx="30">
                  <c:v>0.05</c:v>
                </c:pt>
                <c:pt idx="31">
                  <c:v>0.15</c:v>
                </c:pt>
                <c:pt idx="32">
                  <c:v>0.14000000000000001</c:v>
                </c:pt>
                <c:pt idx="33">
                  <c:v>0.03</c:v>
                </c:pt>
                <c:pt idx="34">
                  <c:v>0.04</c:v>
                </c:pt>
                <c:pt idx="35">
                  <c:v>0.19</c:v>
                </c:pt>
                <c:pt idx="36">
                  <c:v>0.16</c:v>
                </c:pt>
                <c:pt idx="37">
                  <c:v>0.1</c:v>
                </c:pt>
                <c:pt idx="38">
                  <c:v>0.01</c:v>
                </c:pt>
                <c:pt idx="39">
                  <c:v>0.05</c:v>
                </c:pt>
                <c:pt idx="40">
                  <c:v>0.08</c:v>
                </c:pt>
                <c:pt idx="41">
                  <c:v>7.0000000000000007E-2</c:v>
                </c:pt>
                <c:pt idx="42">
                  <c:v>0</c:v>
                </c:pt>
                <c:pt idx="43">
                  <c:v>0.12</c:v>
                </c:pt>
                <c:pt idx="44">
                  <c:v>0.13</c:v>
                </c:pt>
                <c:pt idx="45">
                  <c:v>0.19</c:v>
                </c:pt>
                <c:pt idx="46">
                  <c:v>0.06</c:v>
                </c:pt>
                <c:pt idx="47">
                  <c:v>0.1</c:v>
                </c:pt>
                <c:pt idx="48">
                  <c:v>0.11</c:v>
                </c:pt>
                <c:pt idx="49">
                  <c:v>0</c:v>
                </c:pt>
                <c:pt idx="50">
                  <c:v>0.08</c:v>
                </c:pt>
                <c:pt idx="51">
                  <c:v>0.16</c:v>
                </c:pt>
                <c:pt idx="52">
                  <c:v>0.02</c:v>
                </c:pt>
                <c:pt idx="53">
                  <c:v>0.13</c:v>
                </c:pt>
                <c:pt idx="54">
                  <c:v>0.15</c:v>
                </c:pt>
                <c:pt idx="55">
                  <c:v>0.17</c:v>
                </c:pt>
                <c:pt idx="56">
                  <c:v>0.01</c:v>
                </c:pt>
                <c:pt idx="57">
                  <c:v>0.19</c:v>
                </c:pt>
                <c:pt idx="58">
                  <c:v>0.03</c:v>
                </c:pt>
                <c:pt idx="59">
                  <c:v>0.02</c:v>
                </c:pt>
                <c:pt idx="60">
                  <c:v>0.05</c:v>
                </c:pt>
                <c:pt idx="61">
                  <c:v>0.14000000000000001</c:v>
                </c:pt>
                <c:pt idx="62">
                  <c:v>0.11</c:v>
                </c:pt>
                <c:pt idx="63">
                  <c:v>0</c:v>
                </c:pt>
                <c:pt idx="64">
                  <c:v>7.0000000000000007E-2</c:v>
                </c:pt>
                <c:pt idx="65">
                  <c:v>0.08</c:v>
                </c:pt>
                <c:pt idx="66">
                  <c:v>0.2</c:v>
                </c:pt>
                <c:pt idx="67">
                  <c:v>0.17</c:v>
                </c:pt>
                <c:pt idx="68">
                  <c:v>0.02</c:v>
                </c:pt>
                <c:pt idx="69">
                  <c:v>0.13</c:v>
                </c:pt>
                <c:pt idx="70">
                  <c:v>0.11</c:v>
                </c:pt>
                <c:pt idx="71">
                  <c:v>0.12</c:v>
                </c:pt>
                <c:pt idx="72">
                  <c:v>0.06</c:v>
                </c:pt>
                <c:pt idx="73">
                  <c:v>0.11</c:v>
                </c:pt>
                <c:pt idx="74">
                  <c:v>0.12</c:v>
                </c:pt>
                <c:pt idx="75">
                  <c:v>0.14000000000000001</c:v>
                </c:pt>
                <c:pt idx="76">
                  <c:v>0.08</c:v>
                </c:pt>
                <c:pt idx="77">
                  <c:v>0.14000000000000001</c:v>
                </c:pt>
                <c:pt idx="78">
                  <c:v>0.1</c:v>
                </c:pt>
                <c:pt idx="79">
                  <c:v>0.16</c:v>
                </c:pt>
                <c:pt idx="80">
                  <c:v>0.11</c:v>
                </c:pt>
                <c:pt idx="81">
                  <c:v>0.02</c:v>
                </c:pt>
                <c:pt idx="82">
                  <c:v>0.03</c:v>
                </c:pt>
                <c:pt idx="83">
                  <c:v>0.15</c:v>
                </c:pt>
                <c:pt idx="84">
                  <c:v>0.06</c:v>
                </c:pt>
                <c:pt idx="85">
                  <c:v>0.12</c:v>
                </c:pt>
                <c:pt idx="86">
                  <c:v>7.0000000000000007E-2</c:v>
                </c:pt>
                <c:pt idx="87">
                  <c:v>0.17</c:v>
                </c:pt>
                <c:pt idx="88">
                  <c:v>0.13</c:v>
                </c:pt>
                <c:pt idx="89">
                  <c:v>0.01</c:v>
                </c:pt>
                <c:pt idx="90">
                  <c:v>0.12</c:v>
                </c:pt>
                <c:pt idx="91">
                  <c:v>0.2</c:v>
                </c:pt>
                <c:pt idx="92">
                  <c:v>0.19</c:v>
                </c:pt>
                <c:pt idx="93">
                  <c:v>0.09</c:v>
                </c:pt>
                <c:pt idx="94">
                  <c:v>0.13</c:v>
                </c:pt>
                <c:pt idx="95">
                  <c:v>0.06</c:v>
                </c:pt>
                <c:pt idx="96">
                  <c:v>0.12</c:v>
                </c:pt>
                <c:pt idx="97">
                  <c:v>0.1</c:v>
                </c:pt>
                <c:pt idx="98">
                  <c:v>0.01</c:v>
                </c:pt>
                <c:pt idx="99">
                  <c:v>7.0000000000000007E-2</c:v>
                </c:pt>
                <c:pt idx="100">
                  <c:v>0.05</c:v>
                </c:pt>
                <c:pt idx="101">
                  <c:v>0.02</c:v>
                </c:pt>
                <c:pt idx="102">
                  <c:v>0.11</c:v>
                </c:pt>
                <c:pt idx="103">
                  <c:v>0.03</c:v>
                </c:pt>
                <c:pt idx="104">
                  <c:v>0.19</c:v>
                </c:pt>
                <c:pt idx="105">
                  <c:v>0.18</c:v>
                </c:pt>
                <c:pt idx="106">
                  <c:v>0.17</c:v>
                </c:pt>
                <c:pt idx="107">
                  <c:v>0.04</c:v>
                </c:pt>
                <c:pt idx="108">
                  <c:v>0.03</c:v>
                </c:pt>
                <c:pt idx="109">
                  <c:v>0.05</c:v>
                </c:pt>
                <c:pt idx="110">
                  <c:v>0.01</c:v>
                </c:pt>
                <c:pt idx="111">
                  <c:v>0.03</c:v>
                </c:pt>
                <c:pt idx="112">
                  <c:v>0.08</c:v>
                </c:pt>
                <c:pt idx="113">
                  <c:v>0.15</c:v>
                </c:pt>
                <c:pt idx="114">
                  <c:v>0.13</c:v>
                </c:pt>
                <c:pt idx="115">
                  <c:v>0.04</c:v>
                </c:pt>
                <c:pt idx="116">
                  <c:v>0.08</c:v>
                </c:pt>
                <c:pt idx="117">
                  <c:v>0.1</c:v>
                </c:pt>
                <c:pt idx="118">
                  <c:v>0.11</c:v>
                </c:pt>
                <c:pt idx="119">
                  <c:v>0.05</c:v>
                </c:pt>
                <c:pt idx="120">
                  <c:v>0.15</c:v>
                </c:pt>
                <c:pt idx="121">
                  <c:v>0.06</c:v>
                </c:pt>
                <c:pt idx="122">
                  <c:v>0.01</c:v>
                </c:pt>
                <c:pt idx="123">
                  <c:v>0.14000000000000001</c:v>
                </c:pt>
                <c:pt idx="124">
                  <c:v>0.1</c:v>
                </c:pt>
                <c:pt idx="125">
                  <c:v>0.18</c:v>
                </c:pt>
                <c:pt idx="126">
                  <c:v>0.09</c:v>
                </c:pt>
                <c:pt idx="127">
                  <c:v>0.03</c:v>
                </c:pt>
                <c:pt idx="128">
                  <c:v>0.05</c:v>
                </c:pt>
                <c:pt idx="129">
                  <c:v>0.08</c:v>
                </c:pt>
                <c:pt idx="130">
                  <c:v>0.02</c:v>
                </c:pt>
                <c:pt idx="131">
                  <c:v>0.2</c:v>
                </c:pt>
                <c:pt idx="132">
                  <c:v>0.13</c:v>
                </c:pt>
                <c:pt idx="133">
                  <c:v>0.04</c:v>
                </c:pt>
                <c:pt idx="134">
                  <c:v>0.16</c:v>
                </c:pt>
                <c:pt idx="135">
                  <c:v>0.14000000000000001</c:v>
                </c:pt>
                <c:pt idx="136">
                  <c:v>0.13</c:v>
                </c:pt>
                <c:pt idx="137">
                  <c:v>0.14000000000000001</c:v>
                </c:pt>
                <c:pt idx="138">
                  <c:v>0.16</c:v>
                </c:pt>
                <c:pt idx="139">
                  <c:v>0.06</c:v>
                </c:pt>
                <c:pt idx="140">
                  <c:v>0.14000000000000001</c:v>
                </c:pt>
                <c:pt idx="141">
                  <c:v>0.16</c:v>
                </c:pt>
                <c:pt idx="142">
                  <c:v>0.09</c:v>
                </c:pt>
                <c:pt idx="143">
                  <c:v>0.15</c:v>
                </c:pt>
                <c:pt idx="144">
                  <c:v>0.2</c:v>
                </c:pt>
                <c:pt idx="145">
                  <c:v>0.03</c:v>
                </c:pt>
                <c:pt idx="146">
                  <c:v>0.13</c:v>
                </c:pt>
                <c:pt idx="147">
                  <c:v>0.04</c:v>
                </c:pt>
                <c:pt idx="148">
                  <c:v>0.19</c:v>
                </c:pt>
                <c:pt idx="149">
                  <c:v>0.04</c:v>
                </c:pt>
                <c:pt idx="150">
                  <c:v>0.11</c:v>
                </c:pt>
                <c:pt idx="151">
                  <c:v>0.1</c:v>
                </c:pt>
                <c:pt idx="152">
                  <c:v>0.1</c:v>
                </c:pt>
                <c:pt idx="153">
                  <c:v>0.02</c:v>
                </c:pt>
                <c:pt idx="154">
                  <c:v>0.18</c:v>
                </c:pt>
                <c:pt idx="155">
                  <c:v>0.04</c:v>
                </c:pt>
                <c:pt idx="156">
                  <c:v>0.2</c:v>
                </c:pt>
                <c:pt idx="157">
                  <c:v>0.12</c:v>
                </c:pt>
                <c:pt idx="158">
                  <c:v>0.19</c:v>
                </c:pt>
                <c:pt idx="159">
                  <c:v>0.15</c:v>
                </c:pt>
                <c:pt idx="160">
                  <c:v>0.01</c:v>
                </c:pt>
                <c:pt idx="161">
                  <c:v>0.18</c:v>
                </c:pt>
                <c:pt idx="162">
                  <c:v>0.09</c:v>
                </c:pt>
                <c:pt idx="163">
                  <c:v>0.04</c:v>
                </c:pt>
                <c:pt idx="164">
                  <c:v>0.2</c:v>
                </c:pt>
                <c:pt idx="165">
                  <c:v>0.14000000000000001</c:v>
                </c:pt>
                <c:pt idx="166">
                  <c:v>0.03</c:v>
                </c:pt>
                <c:pt idx="167">
                  <c:v>0.11</c:v>
                </c:pt>
                <c:pt idx="168">
                  <c:v>0.18</c:v>
                </c:pt>
                <c:pt idx="169">
                  <c:v>0.18</c:v>
                </c:pt>
                <c:pt idx="170">
                  <c:v>0.12</c:v>
                </c:pt>
                <c:pt idx="171">
                  <c:v>0.08</c:v>
                </c:pt>
                <c:pt idx="172">
                  <c:v>0.04</c:v>
                </c:pt>
                <c:pt idx="173">
                  <c:v>0.16</c:v>
                </c:pt>
                <c:pt idx="174">
                  <c:v>0.02</c:v>
                </c:pt>
                <c:pt idx="175">
                  <c:v>0.02</c:v>
                </c:pt>
                <c:pt idx="176">
                  <c:v>7.0000000000000007E-2</c:v>
                </c:pt>
                <c:pt idx="177">
                  <c:v>0.09</c:v>
                </c:pt>
                <c:pt idx="178">
                  <c:v>0.12</c:v>
                </c:pt>
                <c:pt idx="179">
                  <c:v>0.09</c:v>
                </c:pt>
                <c:pt idx="180">
                  <c:v>0.06</c:v>
                </c:pt>
                <c:pt idx="181">
                  <c:v>0.17</c:v>
                </c:pt>
                <c:pt idx="182">
                  <c:v>0.11</c:v>
                </c:pt>
                <c:pt idx="183">
                  <c:v>0</c:v>
                </c:pt>
                <c:pt idx="184">
                  <c:v>0.08</c:v>
                </c:pt>
                <c:pt idx="185">
                  <c:v>0.01</c:v>
                </c:pt>
                <c:pt idx="186">
                  <c:v>0.04</c:v>
                </c:pt>
                <c:pt idx="187">
                  <c:v>7.0000000000000007E-2</c:v>
                </c:pt>
                <c:pt idx="188">
                  <c:v>0</c:v>
                </c:pt>
                <c:pt idx="189">
                  <c:v>0.15</c:v>
                </c:pt>
                <c:pt idx="190">
                  <c:v>0.06</c:v>
                </c:pt>
                <c:pt idx="191">
                  <c:v>0.05</c:v>
                </c:pt>
                <c:pt idx="192">
                  <c:v>0.18</c:v>
                </c:pt>
                <c:pt idx="193">
                  <c:v>0.11</c:v>
                </c:pt>
                <c:pt idx="194">
                  <c:v>0.15</c:v>
                </c:pt>
                <c:pt idx="195">
                  <c:v>0.05</c:v>
                </c:pt>
                <c:pt idx="196">
                  <c:v>0.19</c:v>
                </c:pt>
                <c:pt idx="197">
                  <c:v>0.04</c:v>
                </c:pt>
                <c:pt idx="198">
                  <c:v>0.17</c:v>
                </c:pt>
                <c:pt idx="199">
                  <c:v>7.0000000000000007E-2</c:v>
                </c:pt>
              </c:numCache>
            </c:numRef>
          </c:xVal>
          <c:yVal>
            <c:numRef>
              <c:f>Pivot_1!$F$91:$F$290</c:f>
              <c:numCache>
                <c:formatCode>[&gt;=1000000]\ \₹\ 0.00,,"M";[&gt;=1000]\ \₹\ 0.00,"K";0.00</c:formatCode>
                <c:ptCount val="200"/>
                <c:pt idx="0">
                  <c:v>296145</c:v>
                </c:pt>
                <c:pt idx="1">
                  <c:v>362970</c:v>
                </c:pt>
                <c:pt idx="2">
                  <c:v>92610</c:v>
                </c:pt>
                <c:pt idx="3">
                  <c:v>261464</c:v>
                </c:pt>
                <c:pt idx="4">
                  <c:v>244056</c:v>
                </c:pt>
                <c:pt idx="5">
                  <c:v>142668</c:v>
                </c:pt>
                <c:pt idx="6">
                  <c:v>81944</c:v>
                </c:pt>
                <c:pt idx="7">
                  <c:v>19104</c:v>
                </c:pt>
                <c:pt idx="8">
                  <c:v>75858</c:v>
                </c:pt>
                <c:pt idx="9">
                  <c:v>45849</c:v>
                </c:pt>
                <c:pt idx="10">
                  <c:v>207088</c:v>
                </c:pt>
                <c:pt idx="11">
                  <c:v>13617</c:v>
                </c:pt>
                <c:pt idx="12">
                  <c:v>103761</c:v>
                </c:pt>
                <c:pt idx="13">
                  <c:v>65668</c:v>
                </c:pt>
                <c:pt idx="14">
                  <c:v>26572</c:v>
                </c:pt>
                <c:pt idx="15">
                  <c:v>157992</c:v>
                </c:pt>
                <c:pt idx="16">
                  <c:v>27342</c:v>
                </c:pt>
                <c:pt idx="17">
                  <c:v>410481</c:v>
                </c:pt>
                <c:pt idx="18">
                  <c:v>40050</c:v>
                </c:pt>
                <c:pt idx="19">
                  <c:v>12018</c:v>
                </c:pt>
                <c:pt idx="20">
                  <c:v>63502</c:v>
                </c:pt>
                <c:pt idx="21">
                  <c:v>40620</c:v>
                </c:pt>
                <c:pt idx="22">
                  <c:v>154266</c:v>
                </c:pt>
                <c:pt idx="23">
                  <c:v>86319</c:v>
                </c:pt>
                <c:pt idx="24">
                  <c:v>44146</c:v>
                </c:pt>
                <c:pt idx="25">
                  <c:v>16541</c:v>
                </c:pt>
                <c:pt idx="26">
                  <c:v>257</c:v>
                </c:pt>
                <c:pt idx="27">
                  <c:v>271334</c:v>
                </c:pt>
                <c:pt idx="28">
                  <c:v>46950</c:v>
                </c:pt>
                <c:pt idx="29">
                  <c:v>101695</c:v>
                </c:pt>
                <c:pt idx="30">
                  <c:v>227857</c:v>
                </c:pt>
                <c:pt idx="31">
                  <c:v>69055</c:v>
                </c:pt>
                <c:pt idx="32">
                  <c:v>273380</c:v>
                </c:pt>
                <c:pt idx="33">
                  <c:v>133980</c:v>
                </c:pt>
                <c:pt idx="34">
                  <c:v>213030</c:v>
                </c:pt>
                <c:pt idx="35">
                  <c:v>96996</c:v>
                </c:pt>
                <c:pt idx="36">
                  <c:v>78505</c:v>
                </c:pt>
                <c:pt idx="37">
                  <c:v>348648</c:v>
                </c:pt>
                <c:pt idx="38">
                  <c:v>13098</c:v>
                </c:pt>
                <c:pt idx="39">
                  <c:v>102956</c:v>
                </c:pt>
                <c:pt idx="40">
                  <c:v>112000</c:v>
                </c:pt>
                <c:pt idx="41">
                  <c:v>135248</c:v>
                </c:pt>
                <c:pt idx="42">
                  <c:v>192474</c:v>
                </c:pt>
                <c:pt idx="43">
                  <c:v>125209</c:v>
                </c:pt>
                <c:pt idx="44">
                  <c:v>27770</c:v>
                </c:pt>
                <c:pt idx="45">
                  <c:v>175176</c:v>
                </c:pt>
                <c:pt idx="46">
                  <c:v>174992</c:v>
                </c:pt>
                <c:pt idx="47">
                  <c:v>39846</c:v>
                </c:pt>
                <c:pt idx="48">
                  <c:v>211338</c:v>
                </c:pt>
                <c:pt idx="49">
                  <c:v>25754</c:v>
                </c:pt>
                <c:pt idx="50">
                  <c:v>39708</c:v>
                </c:pt>
                <c:pt idx="51">
                  <c:v>233880</c:v>
                </c:pt>
                <c:pt idx="52">
                  <c:v>93542</c:v>
                </c:pt>
                <c:pt idx="53">
                  <c:v>466460</c:v>
                </c:pt>
                <c:pt idx="54">
                  <c:v>69404</c:v>
                </c:pt>
                <c:pt idx="55">
                  <c:v>5677</c:v>
                </c:pt>
                <c:pt idx="56">
                  <c:v>120087</c:v>
                </c:pt>
                <c:pt idx="57">
                  <c:v>100254</c:v>
                </c:pt>
                <c:pt idx="58">
                  <c:v>379720</c:v>
                </c:pt>
                <c:pt idx="59">
                  <c:v>13524</c:v>
                </c:pt>
                <c:pt idx="60">
                  <c:v>129060</c:v>
                </c:pt>
                <c:pt idx="61">
                  <c:v>60417</c:v>
                </c:pt>
                <c:pt idx="62">
                  <c:v>100540</c:v>
                </c:pt>
                <c:pt idx="63">
                  <c:v>45766</c:v>
                </c:pt>
                <c:pt idx="64">
                  <c:v>126075</c:v>
                </c:pt>
                <c:pt idx="65">
                  <c:v>38321</c:v>
                </c:pt>
                <c:pt idx="66">
                  <c:v>17539</c:v>
                </c:pt>
                <c:pt idx="67">
                  <c:v>4029</c:v>
                </c:pt>
                <c:pt idx="68">
                  <c:v>49922</c:v>
                </c:pt>
                <c:pt idx="69">
                  <c:v>95661</c:v>
                </c:pt>
                <c:pt idx="70">
                  <c:v>41576</c:v>
                </c:pt>
                <c:pt idx="71">
                  <c:v>67632</c:v>
                </c:pt>
                <c:pt idx="72">
                  <c:v>332073</c:v>
                </c:pt>
                <c:pt idx="73">
                  <c:v>52814</c:v>
                </c:pt>
                <c:pt idx="74">
                  <c:v>6228</c:v>
                </c:pt>
                <c:pt idx="75">
                  <c:v>196120</c:v>
                </c:pt>
                <c:pt idx="76">
                  <c:v>150930</c:v>
                </c:pt>
                <c:pt idx="77">
                  <c:v>99792</c:v>
                </c:pt>
                <c:pt idx="78">
                  <c:v>107160</c:v>
                </c:pt>
                <c:pt idx="79">
                  <c:v>292012</c:v>
                </c:pt>
                <c:pt idx="80">
                  <c:v>268668</c:v>
                </c:pt>
                <c:pt idx="81">
                  <c:v>389322</c:v>
                </c:pt>
                <c:pt idx="82">
                  <c:v>212445</c:v>
                </c:pt>
                <c:pt idx="83">
                  <c:v>273010</c:v>
                </c:pt>
                <c:pt idx="84">
                  <c:v>113472</c:v>
                </c:pt>
                <c:pt idx="85">
                  <c:v>167952</c:v>
                </c:pt>
                <c:pt idx="86">
                  <c:v>90080</c:v>
                </c:pt>
                <c:pt idx="87">
                  <c:v>91888</c:v>
                </c:pt>
                <c:pt idx="88">
                  <c:v>271848</c:v>
                </c:pt>
                <c:pt idx="89">
                  <c:v>214776</c:v>
                </c:pt>
                <c:pt idx="90">
                  <c:v>233010</c:v>
                </c:pt>
                <c:pt idx="91">
                  <c:v>211296</c:v>
                </c:pt>
                <c:pt idx="92">
                  <c:v>14263</c:v>
                </c:pt>
                <c:pt idx="93">
                  <c:v>14508</c:v>
                </c:pt>
                <c:pt idx="94">
                  <c:v>52745</c:v>
                </c:pt>
                <c:pt idx="95">
                  <c:v>291600</c:v>
                </c:pt>
                <c:pt idx="96">
                  <c:v>225570</c:v>
                </c:pt>
                <c:pt idx="97">
                  <c:v>25968</c:v>
                </c:pt>
                <c:pt idx="98">
                  <c:v>154497</c:v>
                </c:pt>
                <c:pt idx="99">
                  <c:v>84060</c:v>
                </c:pt>
                <c:pt idx="100">
                  <c:v>39612</c:v>
                </c:pt>
                <c:pt idx="101">
                  <c:v>102050</c:v>
                </c:pt>
                <c:pt idx="102">
                  <c:v>125028</c:v>
                </c:pt>
                <c:pt idx="103">
                  <c:v>320306</c:v>
                </c:pt>
                <c:pt idx="104">
                  <c:v>4071</c:v>
                </c:pt>
                <c:pt idx="105">
                  <c:v>21761</c:v>
                </c:pt>
                <c:pt idx="106">
                  <c:v>111072</c:v>
                </c:pt>
                <c:pt idx="107">
                  <c:v>278411</c:v>
                </c:pt>
                <c:pt idx="108">
                  <c:v>35493</c:v>
                </c:pt>
                <c:pt idx="109">
                  <c:v>65597</c:v>
                </c:pt>
                <c:pt idx="110">
                  <c:v>6350</c:v>
                </c:pt>
                <c:pt idx="111">
                  <c:v>166864</c:v>
                </c:pt>
                <c:pt idx="112">
                  <c:v>173475</c:v>
                </c:pt>
                <c:pt idx="113">
                  <c:v>74544</c:v>
                </c:pt>
                <c:pt idx="114">
                  <c:v>67650</c:v>
                </c:pt>
                <c:pt idx="115">
                  <c:v>177428</c:v>
                </c:pt>
                <c:pt idx="116">
                  <c:v>95378</c:v>
                </c:pt>
                <c:pt idx="117">
                  <c:v>118036</c:v>
                </c:pt>
                <c:pt idx="118">
                  <c:v>9756</c:v>
                </c:pt>
                <c:pt idx="119">
                  <c:v>369970</c:v>
                </c:pt>
                <c:pt idx="120">
                  <c:v>306048</c:v>
                </c:pt>
                <c:pt idx="121">
                  <c:v>26602</c:v>
                </c:pt>
                <c:pt idx="122">
                  <c:v>133048</c:v>
                </c:pt>
                <c:pt idx="123">
                  <c:v>166320</c:v>
                </c:pt>
                <c:pt idx="124">
                  <c:v>95508</c:v>
                </c:pt>
                <c:pt idx="125">
                  <c:v>278190</c:v>
                </c:pt>
                <c:pt idx="126">
                  <c:v>226866</c:v>
                </c:pt>
                <c:pt idx="127">
                  <c:v>43704</c:v>
                </c:pt>
                <c:pt idx="128">
                  <c:v>246526</c:v>
                </c:pt>
                <c:pt idx="129">
                  <c:v>132405</c:v>
                </c:pt>
                <c:pt idx="130">
                  <c:v>17900</c:v>
                </c:pt>
                <c:pt idx="131">
                  <c:v>129784</c:v>
                </c:pt>
                <c:pt idx="132">
                  <c:v>123212</c:v>
                </c:pt>
                <c:pt idx="133">
                  <c:v>56076</c:v>
                </c:pt>
                <c:pt idx="134">
                  <c:v>189882</c:v>
                </c:pt>
                <c:pt idx="135">
                  <c:v>34167</c:v>
                </c:pt>
                <c:pt idx="136">
                  <c:v>156258</c:v>
                </c:pt>
                <c:pt idx="137">
                  <c:v>149740</c:v>
                </c:pt>
                <c:pt idx="138">
                  <c:v>144956</c:v>
                </c:pt>
                <c:pt idx="139">
                  <c:v>492920</c:v>
                </c:pt>
                <c:pt idx="140">
                  <c:v>22773</c:v>
                </c:pt>
                <c:pt idx="141">
                  <c:v>42564</c:v>
                </c:pt>
                <c:pt idx="142">
                  <c:v>245490</c:v>
                </c:pt>
                <c:pt idx="143">
                  <c:v>62160</c:v>
                </c:pt>
                <c:pt idx="144">
                  <c:v>192800</c:v>
                </c:pt>
                <c:pt idx="145">
                  <c:v>54085</c:v>
                </c:pt>
                <c:pt idx="146">
                  <c:v>21980</c:v>
                </c:pt>
                <c:pt idx="147">
                  <c:v>64272</c:v>
                </c:pt>
                <c:pt idx="148">
                  <c:v>112410</c:v>
                </c:pt>
                <c:pt idx="149">
                  <c:v>13796</c:v>
                </c:pt>
                <c:pt idx="150">
                  <c:v>24892</c:v>
                </c:pt>
                <c:pt idx="151">
                  <c:v>121121</c:v>
                </c:pt>
                <c:pt idx="152">
                  <c:v>15192</c:v>
                </c:pt>
                <c:pt idx="153">
                  <c:v>198414</c:v>
                </c:pt>
                <c:pt idx="154">
                  <c:v>138660</c:v>
                </c:pt>
                <c:pt idx="155">
                  <c:v>128148</c:v>
                </c:pt>
                <c:pt idx="156">
                  <c:v>55173</c:v>
                </c:pt>
                <c:pt idx="157">
                  <c:v>74832</c:v>
                </c:pt>
                <c:pt idx="158">
                  <c:v>270347</c:v>
                </c:pt>
                <c:pt idx="159">
                  <c:v>102431</c:v>
                </c:pt>
                <c:pt idx="160">
                  <c:v>25918</c:v>
                </c:pt>
                <c:pt idx="161">
                  <c:v>255024</c:v>
                </c:pt>
                <c:pt idx="162">
                  <c:v>486320</c:v>
                </c:pt>
                <c:pt idx="163">
                  <c:v>81360</c:v>
                </c:pt>
                <c:pt idx="164">
                  <c:v>43890</c:v>
                </c:pt>
                <c:pt idx="165">
                  <c:v>8742</c:v>
                </c:pt>
                <c:pt idx="166">
                  <c:v>9000</c:v>
                </c:pt>
                <c:pt idx="167">
                  <c:v>206376</c:v>
                </c:pt>
                <c:pt idx="168">
                  <c:v>46881</c:v>
                </c:pt>
                <c:pt idx="169">
                  <c:v>176391</c:v>
                </c:pt>
                <c:pt idx="170">
                  <c:v>77105</c:v>
                </c:pt>
                <c:pt idx="171">
                  <c:v>135054</c:v>
                </c:pt>
                <c:pt idx="172">
                  <c:v>309672</c:v>
                </c:pt>
                <c:pt idx="173">
                  <c:v>343660</c:v>
                </c:pt>
                <c:pt idx="174">
                  <c:v>51018</c:v>
                </c:pt>
                <c:pt idx="175">
                  <c:v>177520</c:v>
                </c:pt>
                <c:pt idx="176">
                  <c:v>93738</c:v>
                </c:pt>
                <c:pt idx="177">
                  <c:v>32685</c:v>
                </c:pt>
                <c:pt idx="178">
                  <c:v>38744</c:v>
                </c:pt>
                <c:pt idx="179">
                  <c:v>305883</c:v>
                </c:pt>
                <c:pt idx="180">
                  <c:v>1413</c:v>
                </c:pt>
                <c:pt idx="181">
                  <c:v>146958</c:v>
                </c:pt>
                <c:pt idx="182">
                  <c:v>184989</c:v>
                </c:pt>
                <c:pt idx="183">
                  <c:v>138525</c:v>
                </c:pt>
                <c:pt idx="184">
                  <c:v>1050</c:v>
                </c:pt>
                <c:pt idx="185">
                  <c:v>250038</c:v>
                </c:pt>
                <c:pt idx="186">
                  <c:v>333747</c:v>
                </c:pt>
                <c:pt idx="187">
                  <c:v>125616</c:v>
                </c:pt>
                <c:pt idx="188">
                  <c:v>676</c:v>
                </c:pt>
                <c:pt idx="189">
                  <c:v>94218</c:v>
                </c:pt>
                <c:pt idx="190">
                  <c:v>119931</c:v>
                </c:pt>
                <c:pt idx="191">
                  <c:v>85020</c:v>
                </c:pt>
                <c:pt idx="192">
                  <c:v>314968</c:v>
                </c:pt>
                <c:pt idx="193">
                  <c:v>29158</c:v>
                </c:pt>
                <c:pt idx="194">
                  <c:v>9342</c:v>
                </c:pt>
                <c:pt idx="195">
                  <c:v>265110</c:v>
                </c:pt>
                <c:pt idx="196">
                  <c:v>356008</c:v>
                </c:pt>
                <c:pt idx="197">
                  <c:v>58640</c:v>
                </c:pt>
                <c:pt idx="198">
                  <c:v>109620</c:v>
                </c:pt>
                <c:pt idx="199">
                  <c:v>307202</c:v>
                </c:pt>
              </c:numCache>
            </c:numRef>
          </c:yVal>
          <c:smooth val="0"/>
          <c:extLst>
            <c:ext xmlns:c16="http://schemas.microsoft.com/office/drawing/2014/chart" uri="{C3380CC4-5D6E-409C-BE32-E72D297353CC}">
              <c16:uniqueId val="{00000000-F294-4EE7-8AC8-BDA1B1AF48DA}"/>
            </c:ext>
          </c:extLst>
        </c:ser>
        <c:dLbls>
          <c:showLegendKey val="0"/>
          <c:showVal val="0"/>
          <c:showCatName val="0"/>
          <c:showSerName val="0"/>
          <c:showPercent val="0"/>
          <c:showBubbleSize val="0"/>
        </c:dLbls>
        <c:axId val="1479833152"/>
        <c:axId val="1479835072"/>
      </c:scatterChart>
      <c:valAx>
        <c:axId val="147983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35072"/>
        <c:crosses val="autoZero"/>
        <c:crossBetween val="midCat"/>
      </c:valAx>
      <c:valAx>
        <c:axId val="1479835072"/>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0,,&quot;M&quot;;[&gt;=1000]\ \₹\ 0.00,&quot;K&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331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[retail_sales_dataset.xlsx]Pivot_1!PivotTable2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bg2">
                  <a:lumMod val="50000"/>
                </a:schemeClr>
              </a:gs>
              <a:gs pos="80000">
                <a:schemeClr val="accent4">
                  <a:lumMod val="60000"/>
                  <a:lumOff val="4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61119436195044"/>
          <c:y val="0.11033276477691642"/>
          <c:w val="0.80024309245081393"/>
          <c:h val="0.86719204239815617"/>
        </c:manualLayout>
      </c:layout>
      <c:barChart>
        <c:barDir val="bar"/>
        <c:grouping val="clustered"/>
        <c:varyColors val="0"/>
        <c:ser>
          <c:idx val="0"/>
          <c:order val="0"/>
          <c:tx>
            <c:strRef>
              <c:f>Pivot_1!$C$25</c:f>
              <c:strCache>
                <c:ptCount val="1"/>
                <c:pt idx="0">
                  <c:v>Total</c:v>
                </c:pt>
              </c:strCache>
            </c:strRef>
          </c:tx>
          <c:spPr>
            <a:gradFill>
              <a:gsLst>
                <a:gs pos="0">
                  <a:schemeClr val="bg2">
                    <a:lumMod val="50000"/>
                  </a:schemeClr>
                </a:gs>
                <a:gs pos="80000">
                  <a:schemeClr val="accent4">
                    <a:lumMod val="60000"/>
                    <a:lumOff val="4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Pivot_1!$B$26:$B$42</c:f>
              <c:strCache>
                <c:ptCount val="16"/>
                <c:pt idx="0">
                  <c:v>Assam</c:v>
                </c:pt>
                <c:pt idx="1">
                  <c:v>Bihar</c:v>
                </c:pt>
                <c:pt idx="2">
                  <c:v>Delhi</c:v>
                </c:pt>
                <c:pt idx="3">
                  <c:v>Goa</c:v>
                </c:pt>
                <c:pt idx="4">
                  <c:v>Gujarat</c:v>
                </c:pt>
                <c:pt idx="5">
                  <c:v>Haryana</c:v>
                </c:pt>
                <c:pt idx="6">
                  <c:v>Karnataka</c:v>
                </c:pt>
                <c:pt idx="7">
                  <c:v>Kerala</c:v>
                </c:pt>
                <c:pt idx="8">
                  <c:v>Maharashtra</c:v>
                </c:pt>
                <c:pt idx="9">
                  <c:v>Odisha</c:v>
                </c:pt>
                <c:pt idx="10">
                  <c:v>Punjab</c:v>
                </c:pt>
                <c:pt idx="11">
                  <c:v>Rajasthan</c:v>
                </c:pt>
                <c:pt idx="12">
                  <c:v>Tamil Nadu</c:v>
                </c:pt>
                <c:pt idx="13">
                  <c:v>Telangana</c:v>
                </c:pt>
                <c:pt idx="14">
                  <c:v>UP</c:v>
                </c:pt>
                <c:pt idx="15">
                  <c:v>West Bengal</c:v>
                </c:pt>
              </c:strCache>
            </c:strRef>
          </c:cat>
          <c:val>
            <c:numRef>
              <c:f>Pivot_1!$C$26:$C$42</c:f>
              <c:numCache>
                <c:formatCode>[&gt;=1000000]\ \₹\ 0.00,,"M";[&gt;=100000]\ \₹\ 0.00,"K";0.00</c:formatCode>
                <c:ptCount val="16"/>
                <c:pt idx="0">
                  <c:v>565601.73</c:v>
                </c:pt>
                <c:pt idx="1">
                  <c:v>989185.77999999991</c:v>
                </c:pt>
                <c:pt idx="2">
                  <c:v>1709818.94</c:v>
                </c:pt>
                <c:pt idx="3">
                  <c:v>1427349.63</c:v>
                </c:pt>
                <c:pt idx="4">
                  <c:v>1254598.33</c:v>
                </c:pt>
                <c:pt idx="5">
                  <c:v>2522754.8100000005</c:v>
                </c:pt>
                <c:pt idx="6">
                  <c:v>1573671.9899999998</c:v>
                </c:pt>
                <c:pt idx="7">
                  <c:v>1950815.96</c:v>
                </c:pt>
                <c:pt idx="8">
                  <c:v>2090269.9</c:v>
                </c:pt>
                <c:pt idx="9">
                  <c:v>1079236.8299999998</c:v>
                </c:pt>
                <c:pt idx="10">
                  <c:v>1205724.4100000001</c:v>
                </c:pt>
                <c:pt idx="11">
                  <c:v>1985123.41</c:v>
                </c:pt>
                <c:pt idx="12">
                  <c:v>1514650.6400000001</c:v>
                </c:pt>
                <c:pt idx="13">
                  <c:v>1166176.6599999999</c:v>
                </c:pt>
                <c:pt idx="14">
                  <c:v>1269763.49</c:v>
                </c:pt>
                <c:pt idx="15">
                  <c:v>1700239.0100000002</c:v>
                </c:pt>
              </c:numCache>
            </c:numRef>
          </c:val>
          <c:extLst>
            <c:ext xmlns:c16="http://schemas.microsoft.com/office/drawing/2014/chart" uri="{C3380CC4-5D6E-409C-BE32-E72D297353CC}">
              <c16:uniqueId val="{00000000-BA73-4431-9C87-7248CF23298D}"/>
            </c:ext>
          </c:extLst>
        </c:ser>
        <c:dLbls>
          <c:dLblPos val="outEnd"/>
          <c:showLegendKey val="0"/>
          <c:showVal val="1"/>
          <c:showCatName val="0"/>
          <c:showSerName val="0"/>
          <c:showPercent val="0"/>
          <c:showBubbleSize val="0"/>
        </c:dLbls>
        <c:gapWidth val="96"/>
        <c:axId val="1479812992"/>
        <c:axId val="1479816352"/>
      </c:barChart>
      <c:catAx>
        <c:axId val="147981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effectLst>
                  <a:glow>
                    <a:schemeClr val="accent1">
                      <a:alpha val="40000"/>
                    </a:schemeClr>
                  </a:glow>
                </a:effectLst>
                <a:latin typeface="+mn-lt"/>
                <a:ea typeface="+mn-ea"/>
                <a:cs typeface="+mn-cs"/>
              </a:defRPr>
            </a:pPr>
            <a:endParaRPr lang="en-US"/>
          </a:p>
        </c:txPr>
        <c:crossAx val="1479816352"/>
        <c:crosses val="autoZero"/>
        <c:auto val="1"/>
        <c:lblAlgn val="ctr"/>
        <c:lblOffset val="100"/>
        <c:noMultiLvlLbl val="0"/>
      </c:catAx>
      <c:valAx>
        <c:axId val="1479816352"/>
        <c:scaling>
          <c:orientation val="minMax"/>
        </c:scaling>
        <c:delete val="1"/>
        <c:axPos val="b"/>
        <c:numFmt formatCode="[&gt;=1000000]\ \₹\ 0.00,,&quot;M&quot;;[&gt;=100000]\ \₹\ 0.00,&quot;K&quot;;0.00" sourceLinked="1"/>
        <c:majorTickMark val="none"/>
        <c:minorTickMark val="none"/>
        <c:tickLblPos val="nextTo"/>
        <c:crossAx val="147981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Pivot_1!$G$90</c:f>
              <c:strCache>
                <c:ptCount val="1"/>
                <c:pt idx="0">
                  <c:v>Average of Discount</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xVal>
            <c:numRef>
              <c:f>Pivot_1!$G$91:$G$290</c:f>
              <c:numCache>
                <c:formatCode>General</c:formatCode>
                <c:ptCount val="200"/>
                <c:pt idx="0">
                  <c:v>7.0000000000000007E-2</c:v>
                </c:pt>
                <c:pt idx="1">
                  <c:v>0.04</c:v>
                </c:pt>
                <c:pt idx="2">
                  <c:v>0.1</c:v>
                </c:pt>
                <c:pt idx="3">
                  <c:v>0.03</c:v>
                </c:pt>
                <c:pt idx="4">
                  <c:v>0.18</c:v>
                </c:pt>
                <c:pt idx="5">
                  <c:v>0.2</c:v>
                </c:pt>
                <c:pt idx="6">
                  <c:v>0</c:v>
                </c:pt>
                <c:pt idx="7">
                  <c:v>0.11</c:v>
                </c:pt>
                <c:pt idx="8">
                  <c:v>0.04</c:v>
                </c:pt>
                <c:pt idx="9">
                  <c:v>0.11</c:v>
                </c:pt>
                <c:pt idx="10">
                  <c:v>0.02</c:v>
                </c:pt>
                <c:pt idx="11">
                  <c:v>0.18</c:v>
                </c:pt>
                <c:pt idx="12">
                  <c:v>0.11</c:v>
                </c:pt>
                <c:pt idx="13">
                  <c:v>0.03</c:v>
                </c:pt>
                <c:pt idx="14">
                  <c:v>0.02</c:v>
                </c:pt>
                <c:pt idx="15">
                  <c:v>0.12</c:v>
                </c:pt>
                <c:pt idx="16">
                  <c:v>0.12</c:v>
                </c:pt>
                <c:pt idx="17">
                  <c:v>0.04</c:v>
                </c:pt>
                <c:pt idx="18">
                  <c:v>0.16</c:v>
                </c:pt>
                <c:pt idx="19">
                  <c:v>0.19</c:v>
                </c:pt>
                <c:pt idx="20">
                  <c:v>7.0000000000000007E-2</c:v>
                </c:pt>
                <c:pt idx="21">
                  <c:v>0.12</c:v>
                </c:pt>
                <c:pt idx="22">
                  <c:v>0.04</c:v>
                </c:pt>
                <c:pt idx="23">
                  <c:v>7.0000000000000007E-2</c:v>
                </c:pt>
                <c:pt idx="24">
                  <c:v>0.06</c:v>
                </c:pt>
                <c:pt idx="25">
                  <c:v>0.14000000000000001</c:v>
                </c:pt>
                <c:pt idx="26">
                  <c:v>0.13</c:v>
                </c:pt>
                <c:pt idx="27">
                  <c:v>0.2</c:v>
                </c:pt>
                <c:pt idx="28">
                  <c:v>0.05</c:v>
                </c:pt>
                <c:pt idx="29">
                  <c:v>0.09</c:v>
                </c:pt>
                <c:pt idx="30">
                  <c:v>0.05</c:v>
                </c:pt>
                <c:pt idx="31">
                  <c:v>0.15</c:v>
                </c:pt>
                <c:pt idx="32">
                  <c:v>0.14000000000000001</c:v>
                </c:pt>
                <c:pt idx="33">
                  <c:v>0.03</c:v>
                </c:pt>
                <c:pt idx="34">
                  <c:v>0.04</c:v>
                </c:pt>
                <c:pt idx="35">
                  <c:v>0.19</c:v>
                </c:pt>
                <c:pt idx="36">
                  <c:v>0.16</c:v>
                </c:pt>
                <c:pt idx="37">
                  <c:v>0.1</c:v>
                </c:pt>
                <c:pt idx="38">
                  <c:v>0.01</c:v>
                </c:pt>
                <c:pt idx="39">
                  <c:v>0.05</c:v>
                </c:pt>
                <c:pt idx="40">
                  <c:v>0.08</c:v>
                </c:pt>
                <c:pt idx="41">
                  <c:v>7.0000000000000007E-2</c:v>
                </c:pt>
                <c:pt idx="42">
                  <c:v>0</c:v>
                </c:pt>
                <c:pt idx="43">
                  <c:v>0.12</c:v>
                </c:pt>
                <c:pt idx="44">
                  <c:v>0.13</c:v>
                </c:pt>
                <c:pt idx="45">
                  <c:v>0.19</c:v>
                </c:pt>
                <c:pt idx="46">
                  <c:v>0.06</c:v>
                </c:pt>
                <c:pt idx="47">
                  <c:v>0.1</c:v>
                </c:pt>
                <c:pt idx="48">
                  <c:v>0.11</c:v>
                </c:pt>
                <c:pt idx="49">
                  <c:v>0</c:v>
                </c:pt>
                <c:pt idx="50">
                  <c:v>0.08</c:v>
                </c:pt>
                <c:pt idx="51">
                  <c:v>0.16</c:v>
                </c:pt>
                <c:pt idx="52">
                  <c:v>0.02</c:v>
                </c:pt>
                <c:pt idx="53">
                  <c:v>0.13</c:v>
                </c:pt>
                <c:pt idx="54">
                  <c:v>0.15</c:v>
                </c:pt>
                <c:pt idx="55">
                  <c:v>0.17</c:v>
                </c:pt>
                <c:pt idx="56">
                  <c:v>0.01</c:v>
                </c:pt>
                <c:pt idx="57">
                  <c:v>0.19</c:v>
                </c:pt>
                <c:pt idx="58">
                  <c:v>0.03</c:v>
                </c:pt>
                <c:pt idx="59">
                  <c:v>0.02</c:v>
                </c:pt>
                <c:pt idx="60">
                  <c:v>0.05</c:v>
                </c:pt>
                <c:pt idx="61">
                  <c:v>0.14000000000000001</c:v>
                </c:pt>
                <c:pt idx="62">
                  <c:v>0.11</c:v>
                </c:pt>
                <c:pt idx="63">
                  <c:v>0</c:v>
                </c:pt>
                <c:pt idx="64">
                  <c:v>7.0000000000000007E-2</c:v>
                </c:pt>
                <c:pt idx="65">
                  <c:v>0.08</c:v>
                </c:pt>
                <c:pt idx="66">
                  <c:v>0.2</c:v>
                </c:pt>
                <c:pt idx="67">
                  <c:v>0.17</c:v>
                </c:pt>
                <c:pt idx="68">
                  <c:v>0.02</c:v>
                </c:pt>
                <c:pt idx="69">
                  <c:v>0.13</c:v>
                </c:pt>
                <c:pt idx="70">
                  <c:v>0.11</c:v>
                </c:pt>
                <c:pt idx="71">
                  <c:v>0.12</c:v>
                </c:pt>
                <c:pt idx="72">
                  <c:v>0.06</c:v>
                </c:pt>
                <c:pt idx="73">
                  <c:v>0.11</c:v>
                </c:pt>
                <c:pt idx="74">
                  <c:v>0.12</c:v>
                </c:pt>
                <c:pt idx="75">
                  <c:v>0.14000000000000001</c:v>
                </c:pt>
                <c:pt idx="76">
                  <c:v>0.08</c:v>
                </c:pt>
                <c:pt idx="77">
                  <c:v>0.14000000000000001</c:v>
                </c:pt>
                <c:pt idx="78">
                  <c:v>0.1</c:v>
                </c:pt>
                <c:pt idx="79">
                  <c:v>0.16</c:v>
                </c:pt>
                <c:pt idx="80">
                  <c:v>0.11</c:v>
                </c:pt>
                <c:pt idx="81">
                  <c:v>0.02</c:v>
                </c:pt>
                <c:pt idx="82">
                  <c:v>0.03</c:v>
                </c:pt>
                <c:pt idx="83">
                  <c:v>0.15</c:v>
                </c:pt>
                <c:pt idx="84">
                  <c:v>0.06</c:v>
                </c:pt>
                <c:pt idx="85">
                  <c:v>0.12</c:v>
                </c:pt>
                <c:pt idx="86">
                  <c:v>7.0000000000000007E-2</c:v>
                </c:pt>
                <c:pt idx="87">
                  <c:v>0.17</c:v>
                </c:pt>
                <c:pt idx="88">
                  <c:v>0.13</c:v>
                </c:pt>
                <c:pt idx="89">
                  <c:v>0.01</c:v>
                </c:pt>
                <c:pt idx="90">
                  <c:v>0.12</c:v>
                </c:pt>
                <c:pt idx="91">
                  <c:v>0.2</c:v>
                </c:pt>
                <c:pt idx="92">
                  <c:v>0.19</c:v>
                </c:pt>
                <c:pt idx="93">
                  <c:v>0.09</c:v>
                </c:pt>
                <c:pt idx="94">
                  <c:v>0.13</c:v>
                </c:pt>
                <c:pt idx="95">
                  <c:v>0.06</c:v>
                </c:pt>
                <c:pt idx="96">
                  <c:v>0.12</c:v>
                </c:pt>
                <c:pt idx="97">
                  <c:v>0.1</c:v>
                </c:pt>
                <c:pt idx="98">
                  <c:v>0.01</c:v>
                </c:pt>
                <c:pt idx="99">
                  <c:v>7.0000000000000007E-2</c:v>
                </c:pt>
                <c:pt idx="100">
                  <c:v>0.05</c:v>
                </c:pt>
                <c:pt idx="101">
                  <c:v>0.02</c:v>
                </c:pt>
                <c:pt idx="102">
                  <c:v>0.11</c:v>
                </c:pt>
                <c:pt idx="103">
                  <c:v>0.03</c:v>
                </c:pt>
                <c:pt idx="104">
                  <c:v>0.19</c:v>
                </c:pt>
                <c:pt idx="105">
                  <c:v>0.18</c:v>
                </c:pt>
                <c:pt idx="106">
                  <c:v>0.17</c:v>
                </c:pt>
                <c:pt idx="107">
                  <c:v>0.04</c:v>
                </c:pt>
                <c:pt idx="108">
                  <c:v>0.03</c:v>
                </c:pt>
                <c:pt idx="109">
                  <c:v>0.05</c:v>
                </c:pt>
                <c:pt idx="110">
                  <c:v>0.01</c:v>
                </c:pt>
                <c:pt idx="111">
                  <c:v>0.03</c:v>
                </c:pt>
                <c:pt idx="112">
                  <c:v>0.08</c:v>
                </c:pt>
                <c:pt idx="113">
                  <c:v>0.15</c:v>
                </c:pt>
                <c:pt idx="114">
                  <c:v>0.13</c:v>
                </c:pt>
                <c:pt idx="115">
                  <c:v>0.04</c:v>
                </c:pt>
                <c:pt idx="116">
                  <c:v>0.08</c:v>
                </c:pt>
                <c:pt idx="117">
                  <c:v>0.1</c:v>
                </c:pt>
                <c:pt idx="118">
                  <c:v>0.11</c:v>
                </c:pt>
                <c:pt idx="119">
                  <c:v>0.05</c:v>
                </c:pt>
                <c:pt idx="120">
                  <c:v>0.15</c:v>
                </c:pt>
                <c:pt idx="121">
                  <c:v>0.06</c:v>
                </c:pt>
                <c:pt idx="122">
                  <c:v>0.01</c:v>
                </c:pt>
                <c:pt idx="123">
                  <c:v>0.14000000000000001</c:v>
                </c:pt>
                <c:pt idx="124">
                  <c:v>0.1</c:v>
                </c:pt>
                <c:pt idx="125">
                  <c:v>0.18</c:v>
                </c:pt>
                <c:pt idx="126">
                  <c:v>0.09</c:v>
                </c:pt>
                <c:pt idx="127">
                  <c:v>0.03</c:v>
                </c:pt>
                <c:pt idx="128">
                  <c:v>0.05</c:v>
                </c:pt>
                <c:pt idx="129">
                  <c:v>0.08</c:v>
                </c:pt>
                <c:pt idx="130">
                  <c:v>0.02</c:v>
                </c:pt>
                <c:pt idx="131">
                  <c:v>0.2</c:v>
                </c:pt>
                <c:pt idx="132">
                  <c:v>0.13</c:v>
                </c:pt>
                <c:pt idx="133">
                  <c:v>0.04</c:v>
                </c:pt>
                <c:pt idx="134">
                  <c:v>0.16</c:v>
                </c:pt>
                <c:pt idx="135">
                  <c:v>0.14000000000000001</c:v>
                </c:pt>
                <c:pt idx="136">
                  <c:v>0.13</c:v>
                </c:pt>
                <c:pt idx="137">
                  <c:v>0.14000000000000001</c:v>
                </c:pt>
                <c:pt idx="138">
                  <c:v>0.16</c:v>
                </c:pt>
                <c:pt idx="139">
                  <c:v>0.06</c:v>
                </c:pt>
                <c:pt idx="140">
                  <c:v>0.14000000000000001</c:v>
                </c:pt>
                <c:pt idx="141">
                  <c:v>0.16</c:v>
                </c:pt>
                <c:pt idx="142">
                  <c:v>0.09</c:v>
                </c:pt>
                <c:pt idx="143">
                  <c:v>0.15</c:v>
                </c:pt>
                <c:pt idx="144">
                  <c:v>0.2</c:v>
                </c:pt>
                <c:pt idx="145">
                  <c:v>0.03</c:v>
                </c:pt>
                <c:pt idx="146">
                  <c:v>0.13</c:v>
                </c:pt>
                <c:pt idx="147">
                  <c:v>0.04</c:v>
                </c:pt>
                <c:pt idx="148">
                  <c:v>0.19</c:v>
                </c:pt>
                <c:pt idx="149">
                  <c:v>0.04</c:v>
                </c:pt>
                <c:pt idx="150">
                  <c:v>0.11</c:v>
                </c:pt>
                <c:pt idx="151">
                  <c:v>0.1</c:v>
                </c:pt>
                <c:pt idx="152">
                  <c:v>0.1</c:v>
                </c:pt>
                <c:pt idx="153">
                  <c:v>0.02</c:v>
                </c:pt>
                <c:pt idx="154">
                  <c:v>0.18</c:v>
                </c:pt>
                <c:pt idx="155">
                  <c:v>0.04</c:v>
                </c:pt>
                <c:pt idx="156">
                  <c:v>0.2</c:v>
                </c:pt>
                <c:pt idx="157">
                  <c:v>0.12</c:v>
                </c:pt>
                <c:pt idx="158">
                  <c:v>0.19</c:v>
                </c:pt>
                <c:pt idx="159">
                  <c:v>0.15</c:v>
                </c:pt>
                <c:pt idx="160">
                  <c:v>0.01</c:v>
                </c:pt>
                <c:pt idx="161">
                  <c:v>0.18</c:v>
                </c:pt>
                <c:pt idx="162">
                  <c:v>0.09</c:v>
                </c:pt>
                <c:pt idx="163">
                  <c:v>0.04</c:v>
                </c:pt>
                <c:pt idx="164">
                  <c:v>0.2</c:v>
                </c:pt>
                <c:pt idx="165">
                  <c:v>0.14000000000000001</c:v>
                </c:pt>
                <c:pt idx="166">
                  <c:v>0.03</c:v>
                </c:pt>
                <c:pt idx="167">
                  <c:v>0.11</c:v>
                </c:pt>
                <c:pt idx="168">
                  <c:v>0.18</c:v>
                </c:pt>
                <c:pt idx="169">
                  <c:v>0.18</c:v>
                </c:pt>
                <c:pt idx="170">
                  <c:v>0.12</c:v>
                </c:pt>
                <c:pt idx="171">
                  <c:v>0.08</c:v>
                </c:pt>
                <c:pt idx="172">
                  <c:v>0.04</c:v>
                </c:pt>
                <c:pt idx="173">
                  <c:v>0.16</c:v>
                </c:pt>
                <c:pt idx="174">
                  <c:v>0.02</c:v>
                </c:pt>
                <c:pt idx="175">
                  <c:v>0.02</c:v>
                </c:pt>
                <c:pt idx="176">
                  <c:v>7.0000000000000007E-2</c:v>
                </c:pt>
                <c:pt idx="177">
                  <c:v>0.09</c:v>
                </c:pt>
                <c:pt idx="178">
                  <c:v>0.12</c:v>
                </c:pt>
                <c:pt idx="179">
                  <c:v>0.09</c:v>
                </c:pt>
                <c:pt idx="180">
                  <c:v>0.06</c:v>
                </c:pt>
                <c:pt idx="181">
                  <c:v>0.17</c:v>
                </c:pt>
                <c:pt idx="182">
                  <c:v>0.11</c:v>
                </c:pt>
                <c:pt idx="183">
                  <c:v>0</c:v>
                </c:pt>
                <c:pt idx="184">
                  <c:v>0.08</c:v>
                </c:pt>
                <c:pt idx="185">
                  <c:v>0.01</c:v>
                </c:pt>
                <c:pt idx="186">
                  <c:v>0.04</c:v>
                </c:pt>
                <c:pt idx="187">
                  <c:v>7.0000000000000007E-2</c:v>
                </c:pt>
                <c:pt idx="188">
                  <c:v>0</c:v>
                </c:pt>
                <c:pt idx="189">
                  <c:v>0.15</c:v>
                </c:pt>
                <c:pt idx="190">
                  <c:v>0.06</c:v>
                </c:pt>
                <c:pt idx="191">
                  <c:v>0.05</c:v>
                </c:pt>
                <c:pt idx="192">
                  <c:v>0.18</c:v>
                </c:pt>
                <c:pt idx="193">
                  <c:v>0.11</c:v>
                </c:pt>
                <c:pt idx="194">
                  <c:v>0.15</c:v>
                </c:pt>
                <c:pt idx="195">
                  <c:v>0.05</c:v>
                </c:pt>
                <c:pt idx="196">
                  <c:v>0.19</c:v>
                </c:pt>
                <c:pt idx="197">
                  <c:v>0.04</c:v>
                </c:pt>
                <c:pt idx="198">
                  <c:v>0.17</c:v>
                </c:pt>
                <c:pt idx="199">
                  <c:v>7.0000000000000007E-2</c:v>
                </c:pt>
              </c:numCache>
            </c:numRef>
          </c:xVal>
          <c:yVal>
            <c:numRef>
              <c:f>Pivot_1!$F$91:$F$290</c:f>
              <c:numCache>
                <c:formatCode>[&gt;=1000000]\ \₹\ 0.00,,"M";[&gt;=1000]\ \₹\ 0.00,"K";0.00</c:formatCode>
                <c:ptCount val="200"/>
                <c:pt idx="0">
                  <c:v>296145</c:v>
                </c:pt>
                <c:pt idx="1">
                  <c:v>362970</c:v>
                </c:pt>
                <c:pt idx="2">
                  <c:v>92610</c:v>
                </c:pt>
                <c:pt idx="3">
                  <c:v>261464</c:v>
                </c:pt>
                <c:pt idx="4">
                  <c:v>244056</c:v>
                </c:pt>
                <c:pt idx="5">
                  <c:v>142668</c:v>
                </c:pt>
                <c:pt idx="6">
                  <c:v>81944</c:v>
                </c:pt>
                <c:pt idx="7">
                  <c:v>19104</c:v>
                </c:pt>
                <c:pt idx="8">
                  <c:v>75858</c:v>
                </c:pt>
                <c:pt idx="9">
                  <c:v>45849</c:v>
                </c:pt>
                <c:pt idx="10">
                  <c:v>207088</c:v>
                </c:pt>
                <c:pt idx="11">
                  <c:v>13617</c:v>
                </c:pt>
                <c:pt idx="12">
                  <c:v>103761</c:v>
                </c:pt>
                <c:pt idx="13">
                  <c:v>65668</c:v>
                </c:pt>
                <c:pt idx="14">
                  <c:v>26572</c:v>
                </c:pt>
                <c:pt idx="15">
                  <c:v>157992</c:v>
                </c:pt>
                <c:pt idx="16">
                  <c:v>27342</c:v>
                </c:pt>
                <c:pt idx="17">
                  <c:v>410481</c:v>
                </c:pt>
                <c:pt idx="18">
                  <c:v>40050</c:v>
                </c:pt>
                <c:pt idx="19">
                  <c:v>12018</c:v>
                </c:pt>
                <c:pt idx="20">
                  <c:v>63502</c:v>
                </c:pt>
                <c:pt idx="21">
                  <c:v>40620</c:v>
                </c:pt>
                <c:pt idx="22">
                  <c:v>154266</c:v>
                </c:pt>
                <c:pt idx="23">
                  <c:v>86319</c:v>
                </c:pt>
                <c:pt idx="24">
                  <c:v>44146</c:v>
                </c:pt>
                <c:pt idx="25">
                  <c:v>16541</c:v>
                </c:pt>
                <c:pt idx="26">
                  <c:v>257</c:v>
                </c:pt>
                <c:pt idx="27">
                  <c:v>271334</c:v>
                </c:pt>
                <c:pt idx="28">
                  <c:v>46950</c:v>
                </c:pt>
                <c:pt idx="29">
                  <c:v>101695</c:v>
                </c:pt>
                <c:pt idx="30">
                  <c:v>227857</c:v>
                </c:pt>
                <c:pt idx="31">
                  <c:v>69055</c:v>
                </c:pt>
                <c:pt idx="32">
                  <c:v>273380</c:v>
                </c:pt>
                <c:pt idx="33">
                  <c:v>133980</c:v>
                </c:pt>
                <c:pt idx="34">
                  <c:v>213030</c:v>
                </c:pt>
                <c:pt idx="35">
                  <c:v>96996</c:v>
                </c:pt>
                <c:pt idx="36">
                  <c:v>78505</c:v>
                </c:pt>
                <c:pt idx="37">
                  <c:v>348648</c:v>
                </c:pt>
                <c:pt idx="38">
                  <c:v>13098</c:v>
                </c:pt>
                <c:pt idx="39">
                  <c:v>102956</c:v>
                </c:pt>
                <c:pt idx="40">
                  <c:v>112000</c:v>
                </c:pt>
                <c:pt idx="41">
                  <c:v>135248</c:v>
                </c:pt>
                <c:pt idx="42">
                  <c:v>192474</c:v>
                </c:pt>
                <c:pt idx="43">
                  <c:v>125209</c:v>
                </c:pt>
                <c:pt idx="44">
                  <c:v>27770</c:v>
                </c:pt>
                <c:pt idx="45">
                  <c:v>175176</c:v>
                </c:pt>
                <c:pt idx="46">
                  <c:v>174992</c:v>
                </c:pt>
                <c:pt idx="47">
                  <c:v>39846</c:v>
                </c:pt>
                <c:pt idx="48">
                  <c:v>211338</c:v>
                </c:pt>
                <c:pt idx="49">
                  <c:v>25754</c:v>
                </c:pt>
                <c:pt idx="50">
                  <c:v>39708</c:v>
                </c:pt>
                <c:pt idx="51">
                  <c:v>233880</c:v>
                </c:pt>
                <c:pt idx="52">
                  <c:v>93542</c:v>
                </c:pt>
                <c:pt idx="53">
                  <c:v>466460</c:v>
                </c:pt>
                <c:pt idx="54">
                  <c:v>69404</c:v>
                </c:pt>
                <c:pt idx="55">
                  <c:v>5677</c:v>
                </c:pt>
                <c:pt idx="56">
                  <c:v>120087</c:v>
                </c:pt>
                <c:pt idx="57">
                  <c:v>100254</c:v>
                </c:pt>
                <c:pt idx="58">
                  <c:v>379720</c:v>
                </c:pt>
                <c:pt idx="59">
                  <c:v>13524</c:v>
                </c:pt>
                <c:pt idx="60">
                  <c:v>129060</c:v>
                </c:pt>
                <c:pt idx="61">
                  <c:v>60417</c:v>
                </c:pt>
                <c:pt idx="62">
                  <c:v>100540</c:v>
                </c:pt>
                <c:pt idx="63">
                  <c:v>45766</c:v>
                </c:pt>
                <c:pt idx="64">
                  <c:v>126075</c:v>
                </c:pt>
                <c:pt idx="65">
                  <c:v>38321</c:v>
                </c:pt>
                <c:pt idx="66">
                  <c:v>17539</c:v>
                </c:pt>
                <c:pt idx="67">
                  <c:v>4029</c:v>
                </c:pt>
                <c:pt idx="68">
                  <c:v>49922</c:v>
                </c:pt>
                <c:pt idx="69">
                  <c:v>95661</c:v>
                </c:pt>
                <c:pt idx="70">
                  <c:v>41576</c:v>
                </c:pt>
                <c:pt idx="71">
                  <c:v>67632</c:v>
                </c:pt>
                <c:pt idx="72">
                  <c:v>332073</c:v>
                </c:pt>
                <c:pt idx="73">
                  <c:v>52814</c:v>
                </c:pt>
                <c:pt idx="74">
                  <c:v>6228</c:v>
                </c:pt>
                <c:pt idx="75">
                  <c:v>196120</c:v>
                </c:pt>
                <c:pt idx="76">
                  <c:v>150930</c:v>
                </c:pt>
                <c:pt idx="77">
                  <c:v>99792</c:v>
                </c:pt>
                <c:pt idx="78">
                  <c:v>107160</c:v>
                </c:pt>
                <c:pt idx="79">
                  <c:v>292012</c:v>
                </c:pt>
                <c:pt idx="80">
                  <c:v>268668</c:v>
                </c:pt>
                <c:pt idx="81">
                  <c:v>389322</c:v>
                </c:pt>
                <c:pt idx="82">
                  <c:v>212445</c:v>
                </c:pt>
                <c:pt idx="83">
                  <c:v>273010</c:v>
                </c:pt>
                <c:pt idx="84">
                  <c:v>113472</c:v>
                </c:pt>
                <c:pt idx="85">
                  <c:v>167952</c:v>
                </c:pt>
                <c:pt idx="86">
                  <c:v>90080</c:v>
                </c:pt>
                <c:pt idx="87">
                  <c:v>91888</c:v>
                </c:pt>
                <c:pt idx="88">
                  <c:v>271848</c:v>
                </c:pt>
                <c:pt idx="89">
                  <c:v>214776</c:v>
                </c:pt>
                <c:pt idx="90">
                  <c:v>233010</c:v>
                </c:pt>
                <c:pt idx="91">
                  <c:v>211296</c:v>
                </c:pt>
                <c:pt idx="92">
                  <c:v>14263</c:v>
                </c:pt>
                <c:pt idx="93">
                  <c:v>14508</c:v>
                </c:pt>
                <c:pt idx="94">
                  <c:v>52745</c:v>
                </c:pt>
                <c:pt idx="95">
                  <c:v>291600</c:v>
                </c:pt>
                <c:pt idx="96">
                  <c:v>225570</c:v>
                </c:pt>
                <c:pt idx="97">
                  <c:v>25968</c:v>
                </c:pt>
                <c:pt idx="98">
                  <c:v>154497</c:v>
                </c:pt>
                <c:pt idx="99">
                  <c:v>84060</c:v>
                </c:pt>
                <c:pt idx="100">
                  <c:v>39612</c:v>
                </c:pt>
                <c:pt idx="101">
                  <c:v>102050</c:v>
                </c:pt>
                <c:pt idx="102">
                  <c:v>125028</c:v>
                </c:pt>
                <c:pt idx="103">
                  <c:v>320306</c:v>
                </c:pt>
                <c:pt idx="104">
                  <c:v>4071</c:v>
                </c:pt>
                <c:pt idx="105">
                  <c:v>21761</c:v>
                </c:pt>
                <c:pt idx="106">
                  <c:v>111072</c:v>
                </c:pt>
                <c:pt idx="107">
                  <c:v>278411</c:v>
                </c:pt>
                <c:pt idx="108">
                  <c:v>35493</c:v>
                </c:pt>
                <c:pt idx="109">
                  <c:v>65597</c:v>
                </c:pt>
                <c:pt idx="110">
                  <c:v>6350</c:v>
                </c:pt>
                <c:pt idx="111">
                  <c:v>166864</c:v>
                </c:pt>
                <c:pt idx="112">
                  <c:v>173475</c:v>
                </c:pt>
                <c:pt idx="113">
                  <c:v>74544</c:v>
                </c:pt>
                <c:pt idx="114">
                  <c:v>67650</c:v>
                </c:pt>
                <c:pt idx="115">
                  <c:v>177428</c:v>
                </c:pt>
                <c:pt idx="116">
                  <c:v>95378</c:v>
                </c:pt>
                <c:pt idx="117">
                  <c:v>118036</c:v>
                </c:pt>
                <c:pt idx="118">
                  <c:v>9756</c:v>
                </c:pt>
                <c:pt idx="119">
                  <c:v>369970</c:v>
                </c:pt>
                <c:pt idx="120">
                  <c:v>306048</c:v>
                </c:pt>
                <c:pt idx="121">
                  <c:v>26602</c:v>
                </c:pt>
                <c:pt idx="122">
                  <c:v>133048</c:v>
                </c:pt>
                <c:pt idx="123">
                  <c:v>166320</c:v>
                </c:pt>
                <c:pt idx="124">
                  <c:v>95508</c:v>
                </c:pt>
                <c:pt idx="125">
                  <c:v>278190</c:v>
                </c:pt>
                <c:pt idx="126">
                  <c:v>226866</c:v>
                </c:pt>
                <c:pt idx="127">
                  <c:v>43704</c:v>
                </c:pt>
                <c:pt idx="128">
                  <c:v>246526</c:v>
                </c:pt>
                <c:pt idx="129">
                  <c:v>132405</c:v>
                </c:pt>
                <c:pt idx="130">
                  <c:v>17900</c:v>
                </c:pt>
                <c:pt idx="131">
                  <c:v>129784</c:v>
                </c:pt>
                <c:pt idx="132">
                  <c:v>123212</c:v>
                </c:pt>
                <c:pt idx="133">
                  <c:v>56076</c:v>
                </c:pt>
                <c:pt idx="134">
                  <c:v>189882</c:v>
                </c:pt>
                <c:pt idx="135">
                  <c:v>34167</c:v>
                </c:pt>
                <c:pt idx="136">
                  <c:v>156258</c:v>
                </c:pt>
                <c:pt idx="137">
                  <c:v>149740</c:v>
                </c:pt>
                <c:pt idx="138">
                  <c:v>144956</c:v>
                </c:pt>
                <c:pt idx="139">
                  <c:v>492920</c:v>
                </c:pt>
                <c:pt idx="140">
                  <c:v>22773</c:v>
                </c:pt>
                <c:pt idx="141">
                  <c:v>42564</c:v>
                </c:pt>
                <c:pt idx="142">
                  <c:v>245490</c:v>
                </c:pt>
                <c:pt idx="143">
                  <c:v>62160</c:v>
                </c:pt>
                <c:pt idx="144">
                  <c:v>192800</c:v>
                </c:pt>
                <c:pt idx="145">
                  <c:v>54085</c:v>
                </c:pt>
                <c:pt idx="146">
                  <c:v>21980</c:v>
                </c:pt>
                <c:pt idx="147">
                  <c:v>64272</c:v>
                </c:pt>
                <c:pt idx="148">
                  <c:v>112410</c:v>
                </c:pt>
                <c:pt idx="149">
                  <c:v>13796</c:v>
                </c:pt>
                <c:pt idx="150">
                  <c:v>24892</c:v>
                </c:pt>
                <c:pt idx="151">
                  <c:v>121121</c:v>
                </c:pt>
                <c:pt idx="152">
                  <c:v>15192</c:v>
                </c:pt>
                <c:pt idx="153">
                  <c:v>198414</c:v>
                </c:pt>
                <c:pt idx="154">
                  <c:v>138660</c:v>
                </c:pt>
                <c:pt idx="155">
                  <c:v>128148</c:v>
                </c:pt>
                <c:pt idx="156">
                  <c:v>55173</c:v>
                </c:pt>
                <c:pt idx="157">
                  <c:v>74832</c:v>
                </c:pt>
                <c:pt idx="158">
                  <c:v>270347</c:v>
                </c:pt>
                <c:pt idx="159">
                  <c:v>102431</c:v>
                </c:pt>
                <c:pt idx="160">
                  <c:v>25918</c:v>
                </c:pt>
                <c:pt idx="161">
                  <c:v>255024</c:v>
                </c:pt>
                <c:pt idx="162">
                  <c:v>486320</c:v>
                </c:pt>
                <c:pt idx="163">
                  <c:v>81360</c:v>
                </c:pt>
                <c:pt idx="164">
                  <c:v>43890</c:v>
                </c:pt>
                <c:pt idx="165">
                  <c:v>8742</c:v>
                </c:pt>
                <c:pt idx="166">
                  <c:v>9000</c:v>
                </c:pt>
                <c:pt idx="167">
                  <c:v>206376</c:v>
                </c:pt>
                <c:pt idx="168">
                  <c:v>46881</c:v>
                </c:pt>
                <c:pt idx="169">
                  <c:v>176391</c:v>
                </c:pt>
                <c:pt idx="170">
                  <c:v>77105</c:v>
                </c:pt>
                <c:pt idx="171">
                  <c:v>135054</c:v>
                </c:pt>
                <c:pt idx="172">
                  <c:v>309672</c:v>
                </c:pt>
                <c:pt idx="173">
                  <c:v>343660</c:v>
                </c:pt>
                <c:pt idx="174">
                  <c:v>51018</c:v>
                </c:pt>
                <c:pt idx="175">
                  <c:v>177520</c:v>
                </c:pt>
                <c:pt idx="176">
                  <c:v>93738</c:v>
                </c:pt>
                <c:pt idx="177">
                  <c:v>32685</c:v>
                </c:pt>
                <c:pt idx="178">
                  <c:v>38744</c:v>
                </c:pt>
                <c:pt idx="179">
                  <c:v>305883</c:v>
                </c:pt>
                <c:pt idx="180">
                  <c:v>1413</c:v>
                </c:pt>
                <c:pt idx="181">
                  <c:v>146958</c:v>
                </c:pt>
                <c:pt idx="182">
                  <c:v>184989</c:v>
                </c:pt>
                <c:pt idx="183">
                  <c:v>138525</c:v>
                </c:pt>
                <c:pt idx="184">
                  <c:v>1050</c:v>
                </c:pt>
                <c:pt idx="185">
                  <c:v>250038</c:v>
                </c:pt>
                <c:pt idx="186">
                  <c:v>333747</c:v>
                </c:pt>
                <c:pt idx="187">
                  <c:v>125616</c:v>
                </c:pt>
                <c:pt idx="188">
                  <c:v>676</c:v>
                </c:pt>
                <c:pt idx="189">
                  <c:v>94218</c:v>
                </c:pt>
                <c:pt idx="190">
                  <c:v>119931</c:v>
                </c:pt>
                <c:pt idx="191">
                  <c:v>85020</c:v>
                </c:pt>
                <c:pt idx="192">
                  <c:v>314968</c:v>
                </c:pt>
                <c:pt idx="193">
                  <c:v>29158</c:v>
                </c:pt>
                <c:pt idx="194">
                  <c:v>9342</c:v>
                </c:pt>
                <c:pt idx="195">
                  <c:v>265110</c:v>
                </c:pt>
                <c:pt idx="196">
                  <c:v>356008</c:v>
                </c:pt>
                <c:pt idx="197">
                  <c:v>58640</c:v>
                </c:pt>
                <c:pt idx="198">
                  <c:v>109620</c:v>
                </c:pt>
                <c:pt idx="199">
                  <c:v>307202</c:v>
                </c:pt>
              </c:numCache>
            </c:numRef>
          </c:yVal>
          <c:smooth val="0"/>
          <c:extLst>
            <c:ext xmlns:c16="http://schemas.microsoft.com/office/drawing/2014/chart" uri="{C3380CC4-5D6E-409C-BE32-E72D297353CC}">
              <c16:uniqueId val="{00000001-C012-4C5A-9E03-9F4CB8D03359}"/>
            </c:ext>
          </c:extLst>
        </c:ser>
        <c:dLbls>
          <c:showLegendKey val="0"/>
          <c:showVal val="0"/>
          <c:showCatName val="0"/>
          <c:showSerName val="0"/>
          <c:showPercent val="0"/>
          <c:showBubbleSize val="0"/>
        </c:dLbls>
        <c:axId val="1479833152"/>
        <c:axId val="1479835072"/>
      </c:scatterChart>
      <c:valAx>
        <c:axId val="147983315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479835072"/>
        <c:crosses val="autoZero"/>
        <c:crossBetween val="midCat"/>
      </c:valAx>
      <c:valAx>
        <c:axId val="1479835072"/>
        <c:scaling>
          <c:orientation val="minMax"/>
        </c:scaling>
        <c:delete val="0"/>
        <c:axPos val="l"/>
        <c:numFmt formatCode="[&gt;=1000000]\ \₹\ 0.00,,&quot;M&quot;;[&gt;=1000]\ \₹\ 0.00,&quot;K&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4798331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[retail_sales_dataset.xlsx]Pivot_2!PivotTable2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Pivot_2!$C$32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Pivot_2!$B$33:$B$41</c:f>
              <c:strCache>
                <c:ptCount val="8"/>
                <c:pt idx="0">
                  <c:v>Aisha</c:v>
                </c:pt>
                <c:pt idx="1">
                  <c:v>Amit</c:v>
                </c:pt>
                <c:pt idx="2">
                  <c:v>John</c:v>
                </c:pt>
                <c:pt idx="3">
                  <c:v>Nisha</c:v>
                </c:pt>
                <c:pt idx="4">
                  <c:v>Priya</c:v>
                </c:pt>
                <c:pt idx="5">
                  <c:v>Ramesh</c:v>
                </c:pt>
                <c:pt idx="6">
                  <c:v>Sneha</c:v>
                </c:pt>
                <c:pt idx="7">
                  <c:v>Vikram</c:v>
                </c:pt>
              </c:strCache>
            </c:strRef>
          </c:cat>
          <c:val>
            <c:numRef>
              <c:f>Pivot_2!$C$33:$C$41</c:f>
              <c:numCache>
                <c:formatCode>[&gt;=1000000]\ \₹\ 0.00,,"M";[&gt;=1000]\ \₹\ 0.00,"K";0.00</c:formatCode>
                <c:ptCount val="8"/>
                <c:pt idx="0">
                  <c:v>4064154.6300000004</c:v>
                </c:pt>
                <c:pt idx="1">
                  <c:v>3469190.1500000004</c:v>
                </c:pt>
                <c:pt idx="2">
                  <c:v>2609995.1399999997</c:v>
                </c:pt>
                <c:pt idx="3">
                  <c:v>3462860.8099999996</c:v>
                </c:pt>
                <c:pt idx="4">
                  <c:v>2188932.67</c:v>
                </c:pt>
                <c:pt idx="5">
                  <c:v>2379949.2000000007</c:v>
                </c:pt>
                <c:pt idx="6">
                  <c:v>1680972.7499999998</c:v>
                </c:pt>
                <c:pt idx="7">
                  <c:v>4148926.169999999</c:v>
                </c:pt>
              </c:numCache>
            </c:numRef>
          </c:val>
          <c:extLst>
            <c:ext xmlns:c16="http://schemas.microsoft.com/office/drawing/2014/chart" uri="{C3380CC4-5D6E-409C-BE32-E72D297353CC}">
              <c16:uniqueId val="{00000000-30A6-4F13-80A6-7FDC0AC2E969}"/>
            </c:ext>
          </c:extLst>
        </c:ser>
        <c:dLbls>
          <c:dLblPos val="outEnd"/>
          <c:showLegendKey val="0"/>
          <c:showVal val="1"/>
          <c:showCatName val="0"/>
          <c:showSerName val="0"/>
          <c:showPercent val="0"/>
          <c:showBubbleSize val="0"/>
        </c:dLbls>
        <c:gapWidth val="182"/>
        <c:axId val="1688852047"/>
        <c:axId val="1688852527"/>
      </c:barChart>
      <c:catAx>
        <c:axId val="168885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852527"/>
        <c:crosses val="autoZero"/>
        <c:auto val="1"/>
        <c:lblAlgn val="ctr"/>
        <c:lblOffset val="100"/>
        <c:noMultiLvlLbl val="0"/>
      </c:catAx>
      <c:valAx>
        <c:axId val="1688852527"/>
        <c:scaling>
          <c:orientation val="minMax"/>
        </c:scaling>
        <c:delete val="1"/>
        <c:axPos val="b"/>
        <c:numFmt formatCode="[&gt;=1000000]\ \₹\ 0.00,,&quot;M&quot;;[&gt;=1000]\ \₹\ 0.00,&quot;K&quot;;0.00" sourceLinked="1"/>
        <c:majorTickMark val="none"/>
        <c:minorTickMark val="none"/>
        <c:tickLblPos val="nextTo"/>
        <c:crossAx val="168885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[retail_sales_dataset.xlsx]Pivot_2!PivotTable6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Pivot_2!$N$31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Pivot_2!$M$32:$M$40</c:f>
              <c:strCache>
                <c:ptCount val="8"/>
                <c:pt idx="0">
                  <c:v>Amit</c:v>
                </c:pt>
                <c:pt idx="1">
                  <c:v>Aisha</c:v>
                </c:pt>
                <c:pt idx="2">
                  <c:v>Vikram</c:v>
                </c:pt>
                <c:pt idx="3">
                  <c:v>John</c:v>
                </c:pt>
                <c:pt idx="4">
                  <c:v>Nisha</c:v>
                </c:pt>
                <c:pt idx="5">
                  <c:v>Priya</c:v>
                </c:pt>
                <c:pt idx="6">
                  <c:v>Ramesh</c:v>
                </c:pt>
                <c:pt idx="7">
                  <c:v>Sneha</c:v>
                </c:pt>
              </c:strCache>
            </c:strRef>
          </c:cat>
          <c:val>
            <c:numRef>
              <c:f>Pivot_2!$N$32:$N$40</c:f>
              <c:numCache>
                <c:formatCode>[&gt;=1000000]\ \₹\ 0.00,,"M";[&gt;=1000]\ \₹\ 0.00,"K";0.00</c:formatCode>
                <c:ptCount val="8"/>
                <c:pt idx="0">
                  <c:v>171</c:v>
                </c:pt>
                <c:pt idx="1">
                  <c:v>155</c:v>
                </c:pt>
                <c:pt idx="2">
                  <c:v>152</c:v>
                </c:pt>
                <c:pt idx="3">
                  <c:v>151</c:v>
                </c:pt>
                <c:pt idx="4">
                  <c:v>133</c:v>
                </c:pt>
                <c:pt idx="5">
                  <c:v>132</c:v>
                </c:pt>
                <c:pt idx="6">
                  <c:v>108</c:v>
                </c:pt>
                <c:pt idx="7">
                  <c:v>100</c:v>
                </c:pt>
              </c:numCache>
            </c:numRef>
          </c:val>
          <c:extLst>
            <c:ext xmlns:c16="http://schemas.microsoft.com/office/drawing/2014/chart" uri="{C3380CC4-5D6E-409C-BE32-E72D297353CC}">
              <c16:uniqueId val="{00000000-4D57-4B36-97DB-EE19CE4DB68A}"/>
            </c:ext>
          </c:extLst>
        </c:ser>
        <c:dLbls>
          <c:dLblPos val="outEnd"/>
          <c:showLegendKey val="0"/>
          <c:showVal val="1"/>
          <c:showCatName val="0"/>
          <c:showSerName val="0"/>
          <c:showPercent val="0"/>
          <c:showBubbleSize val="0"/>
        </c:dLbls>
        <c:gapWidth val="182"/>
        <c:axId val="1973573871"/>
        <c:axId val="1973568111"/>
      </c:barChart>
      <c:catAx>
        <c:axId val="197357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68111"/>
        <c:crosses val="autoZero"/>
        <c:auto val="1"/>
        <c:lblAlgn val="ctr"/>
        <c:lblOffset val="100"/>
        <c:noMultiLvlLbl val="0"/>
      </c:catAx>
      <c:valAx>
        <c:axId val="1973568111"/>
        <c:scaling>
          <c:orientation val="minMax"/>
        </c:scaling>
        <c:delete val="1"/>
        <c:axPos val="l"/>
        <c:numFmt formatCode="[&gt;=1000000]\ \₹\ 0.00,,&quot;M&quot;;[&gt;=1000]\ \₹\ 0.00,&quot;K&quot;;0.00" sourceLinked="1"/>
        <c:majorTickMark val="none"/>
        <c:minorTickMark val="none"/>
        <c:tickLblPos val="nextTo"/>
        <c:crossAx val="197357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[retail_sales_dataset.xlsx]Pivot_2!PivotTable2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7923F"/>
              </a:gs>
              <a:gs pos="100000">
                <a:srgbClr val="7030A0"/>
              </a:gs>
            </a:gsLst>
            <a:lin ang="36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Pivot_2!$C$32</c:f>
              <c:strCache>
                <c:ptCount val="1"/>
                <c:pt idx="0">
                  <c:v>Total</c:v>
                </c:pt>
              </c:strCache>
            </c:strRef>
          </c:tx>
          <c:spPr>
            <a:gradFill>
              <a:gsLst>
                <a:gs pos="0">
                  <a:srgbClr val="F7923F"/>
                </a:gs>
                <a:gs pos="100000">
                  <a:srgbClr val="7030A0"/>
                </a:gs>
              </a:gsLst>
              <a:lin ang="36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Pivot_2!$B$33:$B$41</c:f>
              <c:strCache>
                <c:ptCount val="8"/>
                <c:pt idx="0">
                  <c:v>Aisha</c:v>
                </c:pt>
                <c:pt idx="1">
                  <c:v>Amit</c:v>
                </c:pt>
                <c:pt idx="2">
                  <c:v>John</c:v>
                </c:pt>
                <c:pt idx="3">
                  <c:v>Nisha</c:v>
                </c:pt>
                <c:pt idx="4">
                  <c:v>Priya</c:v>
                </c:pt>
                <c:pt idx="5">
                  <c:v>Ramesh</c:v>
                </c:pt>
                <c:pt idx="6">
                  <c:v>Sneha</c:v>
                </c:pt>
                <c:pt idx="7">
                  <c:v>Vikram</c:v>
                </c:pt>
              </c:strCache>
            </c:strRef>
          </c:cat>
          <c:val>
            <c:numRef>
              <c:f>Pivot_2!$C$33:$C$41</c:f>
              <c:numCache>
                <c:formatCode>[&gt;=1000000]\ \₹\ 0.00,,"M";[&gt;=1000]\ \₹\ 0.00,"K";0.00</c:formatCode>
                <c:ptCount val="8"/>
                <c:pt idx="0">
                  <c:v>4064154.6300000004</c:v>
                </c:pt>
                <c:pt idx="1">
                  <c:v>3469190.1500000004</c:v>
                </c:pt>
                <c:pt idx="2">
                  <c:v>2609995.1399999997</c:v>
                </c:pt>
                <c:pt idx="3">
                  <c:v>3462860.8099999996</c:v>
                </c:pt>
                <c:pt idx="4">
                  <c:v>2188932.67</c:v>
                </c:pt>
                <c:pt idx="5">
                  <c:v>2379949.2000000007</c:v>
                </c:pt>
                <c:pt idx="6">
                  <c:v>1680972.7499999998</c:v>
                </c:pt>
                <c:pt idx="7">
                  <c:v>4148926.169999999</c:v>
                </c:pt>
              </c:numCache>
            </c:numRef>
          </c:val>
          <c:extLst>
            <c:ext xmlns:c16="http://schemas.microsoft.com/office/drawing/2014/chart" uri="{C3380CC4-5D6E-409C-BE32-E72D297353CC}">
              <c16:uniqueId val="{00000000-686B-4E12-BDCD-E198092E7567}"/>
            </c:ext>
          </c:extLst>
        </c:ser>
        <c:dLbls>
          <c:dLblPos val="outEnd"/>
          <c:showLegendKey val="0"/>
          <c:showVal val="1"/>
          <c:showCatName val="0"/>
          <c:showSerName val="0"/>
          <c:showPercent val="0"/>
          <c:showBubbleSize val="0"/>
        </c:dLbls>
        <c:gapWidth val="80"/>
        <c:axId val="1688852047"/>
        <c:axId val="1688852527"/>
      </c:barChart>
      <c:catAx>
        <c:axId val="168885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688852527"/>
        <c:crosses val="autoZero"/>
        <c:auto val="1"/>
        <c:lblAlgn val="ctr"/>
        <c:lblOffset val="100"/>
        <c:noMultiLvlLbl val="0"/>
      </c:catAx>
      <c:valAx>
        <c:axId val="1688852527"/>
        <c:scaling>
          <c:orientation val="minMax"/>
        </c:scaling>
        <c:delete val="1"/>
        <c:axPos val="b"/>
        <c:numFmt formatCode="[&gt;=1000000]\ \₹\ 0.00,,&quot;M&quot;;[&gt;=1000]\ \₹\ 0.00,&quot;K&quot;;0.00" sourceLinked="1"/>
        <c:majorTickMark val="none"/>
        <c:minorTickMark val="none"/>
        <c:tickLblPos val="nextTo"/>
        <c:crossAx val="168885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[retail_sales_dataset.xlsx]Pivot_2!PivotTable6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8C3FC5"/>
              </a:gs>
              <a:gs pos="100000">
                <a:srgbClr val="F7923F"/>
              </a:gs>
            </a:gsLst>
            <a:lin ang="36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Pivot_2!$N$31</c:f>
              <c:strCache>
                <c:ptCount val="1"/>
                <c:pt idx="0">
                  <c:v>Total</c:v>
                </c:pt>
              </c:strCache>
            </c:strRef>
          </c:tx>
          <c:spPr>
            <a:gradFill>
              <a:gsLst>
                <a:gs pos="0">
                  <a:srgbClr val="8C3FC5"/>
                </a:gs>
                <a:gs pos="100000">
                  <a:srgbClr val="F7923F"/>
                </a:gs>
              </a:gsLst>
              <a:lin ang="36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Pivot_2!$M$32:$M$40</c:f>
              <c:strCache>
                <c:ptCount val="8"/>
                <c:pt idx="0">
                  <c:v>Amit</c:v>
                </c:pt>
                <c:pt idx="1">
                  <c:v>Aisha</c:v>
                </c:pt>
                <c:pt idx="2">
                  <c:v>Vikram</c:v>
                </c:pt>
                <c:pt idx="3">
                  <c:v>John</c:v>
                </c:pt>
                <c:pt idx="4">
                  <c:v>Nisha</c:v>
                </c:pt>
                <c:pt idx="5">
                  <c:v>Priya</c:v>
                </c:pt>
                <c:pt idx="6">
                  <c:v>Ramesh</c:v>
                </c:pt>
                <c:pt idx="7">
                  <c:v>Sneha</c:v>
                </c:pt>
              </c:strCache>
            </c:strRef>
          </c:cat>
          <c:val>
            <c:numRef>
              <c:f>Pivot_2!$N$32:$N$40</c:f>
              <c:numCache>
                <c:formatCode>[&gt;=1000000]\ \₹\ 0.00,,"M";[&gt;=1000]\ \₹\ 0.00,"K";0.00</c:formatCode>
                <c:ptCount val="8"/>
                <c:pt idx="0">
                  <c:v>171</c:v>
                </c:pt>
                <c:pt idx="1">
                  <c:v>155</c:v>
                </c:pt>
                <c:pt idx="2">
                  <c:v>152</c:v>
                </c:pt>
                <c:pt idx="3">
                  <c:v>151</c:v>
                </c:pt>
                <c:pt idx="4">
                  <c:v>133</c:v>
                </c:pt>
                <c:pt idx="5">
                  <c:v>132</c:v>
                </c:pt>
                <c:pt idx="6">
                  <c:v>108</c:v>
                </c:pt>
                <c:pt idx="7">
                  <c:v>100</c:v>
                </c:pt>
              </c:numCache>
            </c:numRef>
          </c:val>
          <c:extLst>
            <c:ext xmlns:c16="http://schemas.microsoft.com/office/drawing/2014/chart" uri="{C3380CC4-5D6E-409C-BE32-E72D297353CC}">
              <c16:uniqueId val="{00000000-271D-4980-A352-267C151CD963}"/>
            </c:ext>
          </c:extLst>
        </c:ser>
        <c:dLbls>
          <c:dLblPos val="outEnd"/>
          <c:showLegendKey val="0"/>
          <c:showVal val="1"/>
          <c:showCatName val="0"/>
          <c:showSerName val="0"/>
          <c:showPercent val="0"/>
          <c:showBubbleSize val="0"/>
        </c:dLbls>
        <c:gapWidth val="182"/>
        <c:axId val="1973573871"/>
        <c:axId val="1973568111"/>
      </c:barChart>
      <c:catAx>
        <c:axId val="197357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973568111"/>
        <c:crosses val="autoZero"/>
        <c:auto val="1"/>
        <c:lblAlgn val="ctr"/>
        <c:lblOffset val="100"/>
        <c:noMultiLvlLbl val="0"/>
      </c:catAx>
      <c:valAx>
        <c:axId val="1973568111"/>
        <c:scaling>
          <c:orientation val="minMax"/>
        </c:scaling>
        <c:delete val="1"/>
        <c:axPos val="l"/>
        <c:numFmt formatCode="[&gt;=1000000]\ \₹\ 0.00,,&quot;M&quot;;[&gt;=1000]\ \₹\ 0.00,&quot;K&quot;;0.00" sourceLinked="1"/>
        <c:majorTickMark val="none"/>
        <c:minorTickMark val="none"/>
        <c:tickLblPos val="nextTo"/>
        <c:crossAx val="197357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[retail_sales_dataset.xlsx]Pivot_3!PivotTable7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Pivot_3!$C$17</c:f>
              <c:strCache>
                <c:ptCount val="1"/>
                <c:pt idx="0">
                  <c:v>Total</c:v>
                </c:pt>
              </c:strCache>
            </c:strRef>
          </c:tx>
          <c:spPr>
            <a:ln w="28575" cap="rnd">
              <a:solidFill>
                <a:schemeClr val="accent1"/>
              </a:solidFill>
              <a:round/>
            </a:ln>
            <a:effectLst/>
          </c:spPr>
          <c:marker>
            <c:symbol val="none"/>
          </c:marker>
          <c:cat>
            <c:strRef>
              <c:f>Pivot_3!$B$18:$B$30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Pivot_3!$C$18:$C$30</c:f>
              <c:numCache>
                <c:formatCode>[&gt;=1000000]\ \₹\ 0.00,,"M";[&gt;=1000]\ \₹\ 0.00,"K";0.00</c:formatCode>
                <c:ptCount val="12"/>
                <c:pt idx="0">
                  <c:v>2118464.9</c:v>
                </c:pt>
                <c:pt idx="1">
                  <c:v>2192128.9099999997</c:v>
                </c:pt>
                <c:pt idx="2">
                  <c:v>1976581.0300000003</c:v>
                </c:pt>
                <c:pt idx="3">
                  <c:v>1247148.1099999999</c:v>
                </c:pt>
                <c:pt idx="4">
                  <c:v>1934445.16</c:v>
                </c:pt>
                <c:pt idx="5">
                  <c:v>2432774.5999999996</c:v>
                </c:pt>
                <c:pt idx="6">
                  <c:v>2765036.8599999994</c:v>
                </c:pt>
                <c:pt idx="7">
                  <c:v>2113696.5699999998</c:v>
                </c:pt>
                <c:pt idx="8">
                  <c:v>2030347.7599999998</c:v>
                </c:pt>
                <c:pt idx="9">
                  <c:v>2592482.19</c:v>
                </c:pt>
                <c:pt idx="10">
                  <c:v>1167007.6000000001</c:v>
                </c:pt>
                <c:pt idx="11">
                  <c:v>1434867.8300000003</c:v>
                </c:pt>
              </c:numCache>
            </c:numRef>
          </c:val>
          <c:smooth val="0"/>
          <c:extLst>
            <c:ext xmlns:c16="http://schemas.microsoft.com/office/drawing/2014/chart" uri="{C3380CC4-5D6E-409C-BE32-E72D297353CC}">
              <c16:uniqueId val="{00000000-B614-4862-B9CE-F82130FE0476}"/>
            </c:ext>
          </c:extLst>
        </c:ser>
        <c:dLbls>
          <c:showLegendKey val="0"/>
          <c:showVal val="0"/>
          <c:showCatName val="0"/>
          <c:showSerName val="0"/>
          <c:showPercent val="0"/>
          <c:showBubbleSize val="0"/>
        </c:dLbls>
        <c:smooth val="0"/>
        <c:axId val="1549205215"/>
        <c:axId val="1549208575"/>
      </c:lineChart>
      <c:catAx>
        <c:axId val="154920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08575"/>
        <c:crosses val="autoZero"/>
        <c:auto val="1"/>
        <c:lblAlgn val="ctr"/>
        <c:lblOffset val="100"/>
        <c:noMultiLvlLbl val="0"/>
      </c:catAx>
      <c:valAx>
        <c:axId val="1549208575"/>
        <c:scaling>
          <c:orientation val="minMax"/>
        </c:scaling>
        <c:delete val="0"/>
        <c:axPos val="l"/>
        <c:numFmt formatCode="[&gt;=1000000]\ \₹\ 0.00,,&quot;M&quot;;[&gt;=1000]\ \₹\ 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0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[retail_sales_dataset.xlsx]Pivot_3!PivotTable9</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Pivot_3!$C$38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91-4C0D-95F2-979F525208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91-4C0D-95F2-979F525208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91-4C0D-95F2-979F525208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91-4C0D-95F2-979F525208E1}"/>
              </c:ext>
            </c:extLst>
          </c:dPt>
          <c:cat>
            <c:strRef>
              <c:f>Pivot_3!$B$39:$B$43</c:f>
              <c:strCache>
                <c:ptCount val="4"/>
                <c:pt idx="0">
                  <c:v>Clothing</c:v>
                </c:pt>
                <c:pt idx="1">
                  <c:v>Electronics</c:v>
                </c:pt>
                <c:pt idx="2">
                  <c:v>Furniture</c:v>
                </c:pt>
                <c:pt idx="3">
                  <c:v>Grocery</c:v>
                </c:pt>
              </c:strCache>
            </c:strRef>
          </c:cat>
          <c:val>
            <c:numRef>
              <c:f>Pivot_3!$C$39:$C$43</c:f>
              <c:numCache>
                <c:formatCode>[&gt;=1000000]\ \₹\ 0.00,,"M";[&gt;=1000]\ \₹\ 0.00,"K";0.00</c:formatCode>
                <c:ptCount val="4"/>
                <c:pt idx="0">
                  <c:v>7643971.5199999986</c:v>
                </c:pt>
                <c:pt idx="1">
                  <c:v>4982964.7199999979</c:v>
                </c:pt>
                <c:pt idx="2">
                  <c:v>5367067.9099999992</c:v>
                </c:pt>
                <c:pt idx="3">
                  <c:v>6010977.3700000001</c:v>
                </c:pt>
              </c:numCache>
            </c:numRef>
          </c:val>
          <c:extLst>
            <c:ext xmlns:c16="http://schemas.microsoft.com/office/drawing/2014/chart" uri="{C3380CC4-5D6E-409C-BE32-E72D297353CC}">
              <c16:uniqueId val="{00000000-A5E1-4152-A952-90A94FA1C2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[retail_sales_dataset.xlsx]Pivot_3!PivotTable10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Pivot_3!$C$58</c:f>
              <c:strCache>
                <c:ptCount val="1"/>
                <c:pt idx="0">
                  <c:v>Total</c:v>
                </c:pt>
              </c:strCache>
            </c:strRef>
          </c:tx>
          <c:spPr>
            <a:solidFill>
              <a:schemeClr val="accent1"/>
            </a:solidFill>
            <a:ln>
              <a:noFill/>
            </a:ln>
            <a:effectLst/>
          </c:spPr>
          <c:invertIfNegative val="0"/>
          <c:cat>
            <c:strRef>
              <c:f>Pivot_3!$B$59:$B$63</c:f>
              <c:strCache>
                <c:ptCount val="4"/>
                <c:pt idx="0">
                  <c:v>East</c:v>
                </c:pt>
                <c:pt idx="1">
                  <c:v>North</c:v>
                </c:pt>
                <c:pt idx="2">
                  <c:v>South</c:v>
                </c:pt>
                <c:pt idx="3">
                  <c:v>West</c:v>
                </c:pt>
              </c:strCache>
            </c:strRef>
          </c:cat>
          <c:val>
            <c:numRef>
              <c:f>Pivot_3!$C$59:$C$63</c:f>
              <c:numCache>
                <c:formatCode>[&gt;=1000000]\ \₹\ 0.00,,"M";[&gt;=1000]\ \₹\ 0.00,"K";0.00</c:formatCode>
                <c:ptCount val="4"/>
                <c:pt idx="0">
                  <c:v>4334263.3499999996</c:v>
                </c:pt>
                <c:pt idx="1">
                  <c:v>6708061.6499999994</c:v>
                </c:pt>
                <c:pt idx="2">
                  <c:v>6205315.25</c:v>
                </c:pt>
                <c:pt idx="3">
                  <c:v>6757341.2699999986</c:v>
                </c:pt>
              </c:numCache>
            </c:numRef>
          </c:val>
          <c:extLst>
            <c:ext xmlns:c16="http://schemas.microsoft.com/office/drawing/2014/chart" uri="{C3380CC4-5D6E-409C-BE32-E72D297353CC}">
              <c16:uniqueId val="{00000000-0F25-4881-AAAC-DDE5A15C5A77}"/>
            </c:ext>
          </c:extLst>
        </c:ser>
        <c:dLbls>
          <c:showLegendKey val="0"/>
          <c:showVal val="0"/>
          <c:showCatName val="0"/>
          <c:showSerName val="0"/>
          <c:showPercent val="0"/>
          <c:showBubbleSize val="0"/>
        </c:dLbls>
        <c:gapWidth val="182"/>
        <c:axId val="691079727"/>
        <c:axId val="691080207"/>
      </c:barChart>
      <c:catAx>
        <c:axId val="69107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80207"/>
        <c:crosses val="autoZero"/>
        <c:auto val="1"/>
        <c:lblAlgn val="ctr"/>
        <c:lblOffset val="100"/>
        <c:noMultiLvlLbl val="0"/>
      </c:catAx>
      <c:valAx>
        <c:axId val="691080207"/>
        <c:scaling>
          <c:orientation val="minMax"/>
        </c:scaling>
        <c:delete val="0"/>
        <c:axPos val="b"/>
        <c:numFmt formatCode="[&gt;=1000000]\ \₹\ 0.00,,&quot;M&quot;;[&gt;=1000]\ \₹\ 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7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[retail_sales_dataset.xlsx]Pivot_3!PivotTable7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1F3A5F"/>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Pivot_3!$C$17</c:f>
              <c:strCache>
                <c:ptCount val="1"/>
                <c:pt idx="0">
                  <c:v>Total</c:v>
                </c:pt>
              </c:strCache>
            </c:strRef>
          </c:tx>
          <c:spPr>
            <a:ln w="34925" cap="rnd">
              <a:solidFill>
                <a:srgbClr val="1F3A5F"/>
              </a:solidFill>
              <a:round/>
            </a:ln>
            <a:effectLst/>
          </c:spPr>
          <c:marker>
            <c:symbol val="circle"/>
            <c:size val="5"/>
            <c:spPr>
              <a:solidFill>
                <a:schemeClr val="accent1"/>
              </a:solidFill>
              <a:ln w="9525">
                <a:solidFill>
                  <a:schemeClr val="accent1"/>
                </a:solidFill>
              </a:ln>
              <a:effectLst/>
            </c:spPr>
          </c:marker>
          <c:cat>
            <c:strRef>
              <c:f>Pivot_3!$B$18:$B$30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Pivot_3!$C$18:$C$30</c:f>
              <c:numCache>
                <c:formatCode>[&gt;=1000000]\ \₹\ 0.00,,"M";[&gt;=1000]\ \₹\ 0.00,"K";0.00</c:formatCode>
                <c:ptCount val="12"/>
                <c:pt idx="0">
                  <c:v>2118464.9</c:v>
                </c:pt>
                <c:pt idx="1">
                  <c:v>2192128.9099999997</c:v>
                </c:pt>
                <c:pt idx="2">
                  <c:v>1976581.0300000003</c:v>
                </c:pt>
                <c:pt idx="3">
                  <c:v>1247148.1099999999</c:v>
                </c:pt>
                <c:pt idx="4">
                  <c:v>1934445.16</c:v>
                </c:pt>
                <c:pt idx="5">
                  <c:v>2432774.5999999996</c:v>
                </c:pt>
                <c:pt idx="6">
                  <c:v>2765036.8599999994</c:v>
                </c:pt>
                <c:pt idx="7">
                  <c:v>2113696.5699999998</c:v>
                </c:pt>
                <c:pt idx="8">
                  <c:v>2030347.7599999998</c:v>
                </c:pt>
                <c:pt idx="9">
                  <c:v>2592482.19</c:v>
                </c:pt>
                <c:pt idx="10">
                  <c:v>1167007.6000000001</c:v>
                </c:pt>
                <c:pt idx="11">
                  <c:v>1434867.8300000003</c:v>
                </c:pt>
              </c:numCache>
            </c:numRef>
          </c:val>
          <c:smooth val="1"/>
          <c:extLst>
            <c:ext xmlns:c16="http://schemas.microsoft.com/office/drawing/2014/chart" uri="{C3380CC4-5D6E-409C-BE32-E72D297353CC}">
              <c16:uniqueId val="{00000000-5B81-4B05-A81C-C5DD1761219F}"/>
            </c:ext>
          </c:extLst>
        </c:ser>
        <c:dLbls>
          <c:showLegendKey val="0"/>
          <c:showVal val="0"/>
          <c:showCatName val="0"/>
          <c:showSerName val="0"/>
          <c:showPercent val="0"/>
          <c:showBubbleSize val="0"/>
        </c:dLbls>
        <c:marker val="1"/>
        <c:smooth val="0"/>
        <c:axId val="1549205215"/>
        <c:axId val="1549208575"/>
      </c:lineChart>
      <c:catAx>
        <c:axId val="154920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49208575"/>
        <c:crosses val="autoZero"/>
        <c:auto val="1"/>
        <c:lblAlgn val="ctr"/>
        <c:lblOffset val="100"/>
        <c:noMultiLvlLbl val="0"/>
      </c:catAx>
      <c:valAx>
        <c:axId val="1549208575"/>
        <c:scaling>
          <c:orientation val="minMax"/>
        </c:scaling>
        <c:delete val="0"/>
        <c:axPos val="l"/>
        <c:numFmt formatCode="[&gt;=1000000]\ \₹\ 0.00,,&quot;M&quot;;[&gt;=1000]\ \₹\ 0.00,&quot;K&quot;;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4920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[retail_sales_dataset.xlsx]Pivot_3!PivotTable9</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F3A5F"/>
          </a:solidFill>
          <a:ln w="19050">
            <a:solidFill>
              <a:schemeClr val="lt1"/>
            </a:solidFill>
          </a:ln>
          <a:effectLst/>
        </c:spPr>
        <c:dLbl>
          <c:idx val="0"/>
          <c:layout>
            <c:manualLayout>
              <c:x val="1.6628081743609677E-2"/>
              <c:y val="-0.1290416302128900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EC4B6"/>
          </a:solidFill>
          <a:ln w="19050">
            <a:solidFill>
              <a:schemeClr val="lt1"/>
            </a:solidFill>
          </a:ln>
          <a:effectLst/>
        </c:spPr>
        <c:dLbl>
          <c:idx val="0"/>
          <c:layout>
            <c:manualLayout>
              <c:x val="8.0145591218301629E-2"/>
              <c:y val="-6.678368328958880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40000"/>
              <a:lumOff val="60000"/>
            </a:schemeClr>
          </a:solidFill>
          <a:ln w="19050">
            <a:solidFill>
              <a:schemeClr val="lt1"/>
            </a:solidFill>
          </a:ln>
          <a:effectLst/>
        </c:spPr>
        <c:dLbl>
          <c:idx val="0"/>
          <c:layout>
            <c:manualLayout>
              <c:x val="-3.5198275042901607E-2"/>
              <c:y val="-5.9999270924467772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w="19050">
            <a:solidFill>
              <a:schemeClr val="lt1"/>
            </a:solidFill>
          </a:ln>
          <a:effectLst/>
        </c:spPr>
        <c:dLbl>
          <c:idx val="0"/>
          <c:layout>
            <c:manualLayout>
              <c:x val="-3.6506483373046801E-2"/>
              <c:y val="2.539807524059492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Pivot_3!$C$38</c:f>
              <c:strCache>
                <c:ptCount val="1"/>
                <c:pt idx="0">
                  <c:v>Total</c:v>
                </c:pt>
              </c:strCache>
            </c:strRef>
          </c:tx>
          <c:dPt>
            <c:idx val="0"/>
            <c:bubble3D val="0"/>
            <c:spPr>
              <a:solidFill>
                <a:srgbClr val="1F3A5F"/>
              </a:solidFill>
              <a:ln w="19050">
                <a:solidFill>
                  <a:schemeClr val="lt1"/>
                </a:solidFill>
              </a:ln>
              <a:effectLst/>
            </c:spPr>
            <c:extLst>
              <c:ext xmlns:c16="http://schemas.microsoft.com/office/drawing/2014/chart" uri="{C3380CC4-5D6E-409C-BE32-E72D297353CC}">
                <c16:uniqueId val="{00000001-77DD-451A-8CA6-A31B140969C0}"/>
              </c:ext>
            </c:extLst>
          </c:dPt>
          <c:dPt>
            <c:idx val="1"/>
            <c:bubble3D val="0"/>
            <c:spPr>
              <a:solidFill>
                <a:srgbClr val="2EC4B6"/>
              </a:solidFill>
              <a:ln w="19050">
                <a:solidFill>
                  <a:schemeClr val="lt1"/>
                </a:solidFill>
              </a:ln>
              <a:effectLst/>
            </c:spPr>
            <c:extLst>
              <c:ext xmlns:c16="http://schemas.microsoft.com/office/drawing/2014/chart" uri="{C3380CC4-5D6E-409C-BE32-E72D297353CC}">
                <c16:uniqueId val="{00000003-77DD-451A-8CA6-A31B140969C0}"/>
              </c:ext>
            </c:extLst>
          </c:dPt>
          <c:dPt>
            <c:idx val="2"/>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5-77DD-451A-8CA6-A31B140969C0}"/>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77DD-451A-8CA6-A31B140969C0}"/>
              </c:ext>
            </c:extLst>
          </c:dPt>
          <c:dLbls>
            <c:dLbl>
              <c:idx val="0"/>
              <c:layout>
                <c:manualLayout>
                  <c:x val="1.6628081743609677E-2"/>
                  <c:y val="-0.1290416302128900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DD-451A-8CA6-A31B140969C0}"/>
                </c:ext>
              </c:extLst>
            </c:dLbl>
            <c:dLbl>
              <c:idx val="1"/>
              <c:layout>
                <c:manualLayout>
                  <c:x val="8.0145591218301629E-2"/>
                  <c:y val="-6.678368328958880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DD-451A-8CA6-A31B140969C0}"/>
                </c:ext>
              </c:extLst>
            </c:dLbl>
            <c:dLbl>
              <c:idx val="2"/>
              <c:layout>
                <c:manualLayout>
                  <c:x val="-3.5198275042901607E-2"/>
                  <c:y val="-5.999927092446777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DD-451A-8CA6-A31B140969C0}"/>
                </c:ext>
              </c:extLst>
            </c:dLbl>
            <c:dLbl>
              <c:idx val="3"/>
              <c:layout>
                <c:manualLayout>
                  <c:x val="-3.6506483373046801E-2"/>
                  <c:y val="2.53980752405949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DD-451A-8CA6-A31B140969C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Pivot_3!$B$39:$B$43</c:f>
              <c:strCache>
                <c:ptCount val="4"/>
                <c:pt idx="0">
                  <c:v>Clothing</c:v>
                </c:pt>
                <c:pt idx="1">
                  <c:v>Electronics</c:v>
                </c:pt>
                <c:pt idx="2">
                  <c:v>Furniture</c:v>
                </c:pt>
                <c:pt idx="3">
                  <c:v>Grocery</c:v>
                </c:pt>
              </c:strCache>
            </c:strRef>
          </c:cat>
          <c:val>
            <c:numRef>
              <c:f>Pivot_3!$C$39:$C$43</c:f>
              <c:numCache>
                <c:formatCode>[&gt;=1000000]\ \₹\ 0.00,,"M";[&gt;=1000]\ \₹\ 0.00,"K";0.00</c:formatCode>
                <c:ptCount val="4"/>
                <c:pt idx="0">
                  <c:v>7643971.5199999986</c:v>
                </c:pt>
                <c:pt idx="1">
                  <c:v>4982964.7199999979</c:v>
                </c:pt>
                <c:pt idx="2">
                  <c:v>5367067.9099999992</c:v>
                </c:pt>
                <c:pt idx="3">
                  <c:v>6010977.3700000001</c:v>
                </c:pt>
              </c:numCache>
            </c:numRef>
          </c:val>
          <c:extLst>
            <c:ext xmlns:c16="http://schemas.microsoft.com/office/drawing/2014/chart" uri="{C3380CC4-5D6E-409C-BE32-E72D297353CC}">
              <c16:uniqueId val="{00000008-77DD-451A-8CA6-A31B140969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[retail_sales_dataset.xlsx]Pivot_3!PivotTable10</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1F3A5F"/>
              </a:gs>
              <a:gs pos="100000">
                <a:srgbClr val="2EC4B6"/>
              </a:gs>
            </a:gsLst>
            <a:lin ang="27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Pivot_3!$C$58</c:f>
              <c:strCache>
                <c:ptCount val="1"/>
                <c:pt idx="0">
                  <c:v>Total</c:v>
                </c:pt>
              </c:strCache>
            </c:strRef>
          </c:tx>
          <c:spPr>
            <a:gradFill>
              <a:gsLst>
                <a:gs pos="0">
                  <a:srgbClr val="1F3A5F"/>
                </a:gs>
                <a:gs pos="100000">
                  <a:srgbClr val="2EC4B6"/>
                </a:gs>
              </a:gsLst>
              <a:lin ang="2700000" scaled="0"/>
            </a:gradFill>
            <a:ln>
              <a:noFill/>
            </a:ln>
            <a:effectLst/>
          </c:spPr>
          <c:invertIfNegative val="0"/>
          <c:cat>
            <c:strRef>
              <c:f>Pivot_3!$B$59:$B$63</c:f>
              <c:strCache>
                <c:ptCount val="4"/>
                <c:pt idx="0">
                  <c:v>East</c:v>
                </c:pt>
                <c:pt idx="1">
                  <c:v>North</c:v>
                </c:pt>
                <c:pt idx="2">
                  <c:v>South</c:v>
                </c:pt>
                <c:pt idx="3">
                  <c:v>West</c:v>
                </c:pt>
              </c:strCache>
            </c:strRef>
          </c:cat>
          <c:val>
            <c:numRef>
              <c:f>Pivot_3!$C$59:$C$63</c:f>
              <c:numCache>
                <c:formatCode>[&gt;=1000000]\ \₹\ 0.00,,"M";[&gt;=1000]\ \₹\ 0.00,"K";0.00</c:formatCode>
                <c:ptCount val="4"/>
                <c:pt idx="0">
                  <c:v>4334263.3499999996</c:v>
                </c:pt>
                <c:pt idx="1">
                  <c:v>6708061.6499999994</c:v>
                </c:pt>
                <c:pt idx="2">
                  <c:v>6205315.25</c:v>
                </c:pt>
                <c:pt idx="3">
                  <c:v>6757341.2699999986</c:v>
                </c:pt>
              </c:numCache>
            </c:numRef>
          </c:val>
          <c:extLst>
            <c:ext xmlns:c16="http://schemas.microsoft.com/office/drawing/2014/chart" uri="{C3380CC4-5D6E-409C-BE32-E72D297353CC}">
              <c16:uniqueId val="{00000000-D856-4F11-9509-C85F8B8FF97F}"/>
            </c:ext>
          </c:extLst>
        </c:ser>
        <c:dLbls>
          <c:showLegendKey val="0"/>
          <c:showVal val="0"/>
          <c:showCatName val="0"/>
          <c:showSerName val="0"/>
          <c:showPercent val="0"/>
          <c:showBubbleSize val="0"/>
        </c:dLbls>
        <c:gapWidth val="182"/>
        <c:axId val="691079727"/>
        <c:axId val="691080207"/>
      </c:barChart>
      <c:catAx>
        <c:axId val="69107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91080207"/>
        <c:crosses val="autoZero"/>
        <c:auto val="1"/>
        <c:lblAlgn val="ctr"/>
        <c:lblOffset val="100"/>
        <c:noMultiLvlLbl val="0"/>
      </c:catAx>
      <c:valAx>
        <c:axId val="691080207"/>
        <c:scaling>
          <c:orientation val="minMax"/>
        </c:scaling>
        <c:delete val="0"/>
        <c:axPos val="b"/>
        <c:numFmt formatCode="[&gt;=1000000]\ \₹\ 0.00,,&quot;M&quot;;[&gt;=1000]\ \₹\ 0.00,&quot;K&quot;;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9107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F8376F7D-A154-40B3-8031-94F9FF88F107}">
          <cx:tx>
            <cx:txData>
              <cx:f>_xlchart.v5.2</cx:f>
              <cx:v>Sum of Sale_After_Discount</cx:v>
            </cx:txData>
          </cx:tx>
          <cx:dataLabels>
            <cx:visibility seriesName="0" categoryName="0" value="1"/>
          </cx:dataLabels>
          <cx:dataId val="0"/>
          <cx:layoutPr>
            <cx:geography cultureLanguage="en-US" cultureRegion="IN" attribution="Powered by Bing">
              <cx:geoCache provider="{E9337A44-BEBE-4D9F-B70C-5C5E7DAFC167}">
                <cx:binary>1Htpc9w4su1f6fDnRzV2ghPTE3FB1qaSSpsty/2FIUsyV4AEwQ389S/lbSy1xu6J6xfxXOGwXUWi
sCQz8+Q5Wf+8m/9xVz/cdr/NujbuH3fzH6/yvm//8fvv7i5/0LfuSBd3XeOaD/3RXaN/bz58KO4e
fr/vbqfCZL8ThNnvd/lt1z/Mr/71T/i27KE5ae5u+6IxF8ND5y8f3FD37jvXXrz02+29LkxSuL4r
7nr8x6v/ce5Wv/rtwfRF71/79uGPV09uefXb78+/6C+T/lbDuvrhHsYScUQ5ozLCMvr0evVb3Zjs
8+WIHEkS8ghF9NNV+mXqw62G4T9czce13N7fdw/OwV4+/vt12JOFw6dXr367awbTP55WBgf3x6ud
uS9uX/1WuCb+dCFuHle9O3zc5u9Pz/lf/3z2AWz82SffmOL5Kf3o0l8scXlb3ro+vzVfjuSnWINL
RgmV4UvWCOmR5AgTiUP08cW/TP3JGn9rRS9b5Juhz6xyefxLWUUV4IVfjuUnWIQfiTCSHHP66cjx
E/+QcBlFQrCIfJnzkyl+uIyXzfB52DMTqMtfygTJQ50XX47jJ5hAHglGaYSEeMkEYXiEMWch2OiT
z4gvU3+yxA9X87IlPg97Zonk5JeyxP6hu60hfv6sbIHREWORDMOQPXGDUBwxJIlg+LOJnnnDj9fx
shG+jHtmhf2vZYVN8zNNwI+ogAwRkRcTdsiOECciEoR88oZnKeIHa3nZDB8HPbPB5n9+KU94c/7z
vAAwU0QoFxh/ikfoWU5AR1wIyol8GTO96XvAmefd7f2Dy7+3qpeN8Wz4M7M87vMXwlCbobztbvvv
ncJ/iWfJkYiIEJhETyMUPuJRiCgEqa/I6lNU/JQl/sZCXjbH14HPDLH5tWDT/rYzt/1t9TMjFTsK
MWKEMfJi3hZHGKAVAKuX3eRvrehlm3wz9JlV9r9W1Hr9UN+a7Nb8TKuERxIhwaHge+og0RFCkWQR
Z58cBC5/6yB/aykvm+Oboc/M8XrzS0Wr88GUt++/nMv/HtlSdCQZwTwi4VNb8CNAUhJF6HMZ+Kzq
/vE6XjbEl3HPrHCufikrbG87/1NdgkRHOJI4YoCVvuE+ANRShghDDBzm8fWssPgb63jZDF8HPrPD
9tcq805vodK+dXnf/czwFB0xTpCkwDl9fOHnNsFIRpR8DlLRM3j7N9f0sl2eDH5mm9PtL+UjZ/eF
y3+iWQhgWkwRY2CXT68nZpHsiBEJPCKErI+vZ2b58XJetsiXcc+McfZrOcrrW13Uvx1u74eflzow
PkJYQAEin6VxCZV4iAjikFKe5O+/tYiXzfDtBp6Z4jUwsb9QvfH2wfW/qQfAVPWX4/nfp3HySMsy
zFH4NI3L8CgKod5gnwHu82D1Nxfzsk2eDH5mlLf/fyf0l5+XbzmqJ3f8t4oGAUWDcETk57KDPAlV
YfTInwgoBfmnUPXMTz4rDv95NS+b4/OwJwv/fyxf/Gdp46vgk0BJt/qoFH2jbnz/6sftgXj1bOj3
KMRPZ7W7f1STIgRY9asC9fglT6LQFwT6lyEPIKX88QogFwhNkEYIFRIL9gi5JnBZuAI+JjmNpBQs
ZMC5AwFpmq7P/3hFCeQmHIbRIwXMBYHc45rh8QoAOw74GsFAHgqgj8lXbe68qX3WmK9n8fn9b2bQ
501hevfHq0iiV7+1n+573FwIgZULTiiJCGAUxhmE3vbu9hIEQLgd/58syypRGGI2wzC6bYer4dYU
olWZpOk5rQO3nyzySR2wZm9GmSuuTbbrZlnuI2RwPHAur6Xx/D7qkIktC4P1YwmdkKmc90Fl8tXC
AqE6ztNjpotMZfNyKwZ23pRFQgfilZj1PghqlkxA06qwSQfVRcWBetfF41Jck4bdp2yI6cj1ceVa
uyG6xouiqJrXth3C2BNZrIoyxG9qXgRS2Sqvj+nCzGlb+eXM4FDfDVWDYiGFeO8Lkm9hvumsjXyw
JizIrGoFy64JGnncBWMbMz8USRel1Z9cD3WSLTBrqmmmVVXU7f2I6LhjtsneMu2mXWAamoQCj4k1
+qItqua28nl/XGKvd1Mn57MhkHLT5HymyrkGz6pq5uE8r+d5G1TC7JtsGi69dnyOhSG5yvuSvPFY
q6yb56uipNnB5WxSJB2bTaDDc8LM+KaPUPZg66K7KcTELjRCk2oAa54X0tJ47pp2pUVaXI2lJruI
+OsyHO15zgt8RSvLdwOc9b7XaXEy5tJcT+mMNgVCVM0uKxJ4NOLO2vJ2sm1xyHOZT8oWGEeqmcLx
ikWlPoRt/pCyVMZLUQ2xG4S9EYVP44D59k4s6QdferkkYTS/zUm7rXJ+PAykWhUtxhejrNCqkGV1
XoZTdMPE3J5g37I91R3dDcNS37MKjcpVXaOVK3N+8IYGB7O00ikEdf9dywe7aWWmd27OvarybjrW
iKWHqTZ2G9ZMxz2WeIdNQE6tDx/Sbo/JDS1hZgTiy5ULdHNcc+eSJTUhV6Qc2tWS+SyLddCaRYER
9HkmmuoQ5YvbRMHi35ClxmemHro4Y419i93iD7WP0iRDIzrxxI5JZnUX03CckgGDgRQWJDrV09A1
Km9at0V5SpPBjL2qA/FhmJg89EPYryyx0Vr0do7zhsy7Hpz5IKLwTcYKm0QV79dFEcq18134OqqC
cd3Wur4VeWCVcAUtYi6CVKVVhldlJ5yyi/frxQRBPPuhiQOPbCKGBq3YUgwqK7w91aLxW2KHcFOX
SO/0Ep6ZudtoaloVyqU9TWXKEl7KmPdChX5uN0s2qlZb1ZVp7Edv4ok073nuN5jVxT7js1TtgKqL
dhbFug1ct6kcUQxXbC1wJzYkLcwekp18VxWzH1WGzHiBCztdCtO+Y0K/N0u24os7cSa8K0cjzpe0
kts26Ni6wzqF4PP4jbqTNJ7wVMftcjk5dilx4ZWuuz6xNvVXWVT0ik6VUWmhbTwX+p7y5tAVy7wS
PTExHkRw2Yh2eJs3E1EIV8umqwQ6C5uyjxtv8B6VWX/cOMpWQ9+GD72s0rVoBD3tBgrOhEK8Sosw
uqIhgVOdGYHgEc2xG0cbN7xZ1vAcm5XEfjKqXNr5baZTuaNhma/qyrk1QWFzPIdBEYfV6DZjU/pd
1fA5U9g5sXNLtmzSIV3OZbbwdRZSp1Kahcqnfk6yDqztK57HfDGRwkHeb6rI1qsgDRvV+oFtyMAl
UkzQ922Jcwt3N/6k7xCONernY1Q16VtvgiUem6o96aNpPEZ2NsemnuQ215F5P3HT76ecoFhGFboE
J29zUH3DVNWTFUU8k4m+EUUTkrj3dbuqzDyMKmW5PLgMAt8qLyRdl2NZqzkV2f0c6Td0snbV+mIT
1NgrOIhtzZowgYTBb0YTXAxuOvgCdp6WcT4WJu5GzzO1SFHedJleVrqWZVz6vl83TSmTtKsjr0rC
+Yp2uVMuGsD/e89jV+Bi0xuOzl1Yryo01CrPojgw6ajKKDwZSj7EA82zuKJsXy6NU6AXXpllnPe8
gdytuGH9VR6IItHDdF9JWm2nJsNJmo6nuSkuSipYUpXBvF7k2MWFQ2zdN9OyoUPabiiHCM5xucRz
Su1q0Mv4EGX9RT6Gb0rR9pEa4QtiXLX+pi0hbKgs1SXfjiJlsVtYGqMeJa5Ou02P3KIWlPo/izri
l0jU4x6+Pa7luE3H7F1fQdSvi9eUhgeis1UTuCnWdaZXrg+Q4nUaxPns8pMuQOXx3FRsF5bCxins
/C3XEX3naDklhZXVDrLE1vRpe5XVQbfxdkh5jMdxypTOTXszL2G2t8L3Z6H27b4Jwv5BRyxQ8OQ+
pkFfgFG1WTsuoiRcXHTpRIGVnoeVQMPNQMZDWur9MJXLAevstOlyAmm2NnHamH5SkS0alKQlBNUZ
o+PA2kxN1J3Q2cd6JqMieY8VK+mmqctNB7qW6m1JWxVUukrw0u86Pal5lu0JYTJTcNcDdj7ia2Eq
OMXake6KZpM9aeVDONPpQxH69GDnSqop5WTP+06azTgVvUiaZupvF0hDD+WCZNLOqD7HVd6OyovZ
Qnorx+W1NrJ/XUHXUZBEvtIknurCXvgR9YlveXcaeJcnvNcdVwXx6BpCT5nYNp03zhqnJuKnDSIG
J4usZTJMXRl7nIuroMrnnZZ+0RuR+TRPaO5et3kASdrKMxnwoVVaBte+CJe4bQCiZKh9qNt5ft3q
sI4DF4r1wGrI3pTq6EKy5noOx/PGjHplTH7oi24tBtmqng43uO/edIt2ipqKXgDP26xNZPwa0l50
alKdFyuP6vCm5K5WDcCKjFd3Zc42tMm2iyv2fRFup34akmliJksWpjMNntXoVTZCwHDlqil5s8bI
bhs+nPsAXVYov4OEdj11473jbGPniR/aLLPrDLMoFmULz65fMORdQGFpvuJGhEkpFn/aOobi1GmW
UM/sIeX5uuZplifTHLokytlwyBBbVNjaCavAlW1SckRfQ/iVJ35xQ6H6MWArgPBmhzGgTpYfUFMV
+2B2QVKME93axaELQHH+qinrZc3GiZ9jqQEJl/csAwCrZzbsBzB0bOvhVJSuOQ7yJlCO81pxR1yC
Whodp6ToE0zxvKXBiOKmC25LL9qtt3V9MkkPKTq1YtWHTaesE3PSLDk/cVOKzwF+22MZjmTbNlN2
bNNyr4PZvhvKObweU4h/ZCxyqiofTCrse3nZWdmeRSnGm6lsbmVtYL1R164myD5qDsXOBoWPne1v
rOhu7djwpCA9U17bjeir8jhFOHjLCy1vjJ6CVWHz4I1hXaJFmw1gjmKIazi6hzlI9QoQpbiYvM/i
uTSIq0h37ljYqt721m6htBBbOvUCDlVnJ2kWtOehhCSVNXVCezO8bfPenvBCdu+aosFJxa2RqhM2
gMBD85hMlVvj1Hbw7BRpnHudxlMWBWsRVlG8cMY37Tikb4zP7QXKiExsbtNL2rX0IIqs3QEGmy4b
Upu3Xda5mOqJqYBzf0kCjdRY9PV9o3G4sYUwH6K2TTfz1LJYWkDQbViyE4LZUqslMPq2IEV+wsel
5ApPkuwb5IurLAOUpwJhi2uHakgZdesSMqTZAdcIbTKq0QGHHvx6zKgSuXO7dNF4i0KT/WnYglVK
QpJMwaTvmR2iQyBbfu0xDtTQT0IJOrh3kbPZZWXL+qqZZnI8SWkh5eFihKMnIm6hEliBx5Sxc4/J
1eQXrmTrpeM5ADbnroc8ZdvAzdMhpGMai8maA3O922ug3lZLmj5MZuqwWtpcrE3tAbrNNF1Xi5Dv
8NzRfWY0vZwW4VZzj+0+c6UA/Cn41vec/wklq10tOose2j4lSQQF4C73sjkTWVEcRpwXW856AOTM
2OMGmqMga7BoPRsrcUyK8yqYzGrIAJnLIsLHRYC5iUlUHsjSnWmUE9XP3Kkx7PWxXKq+UC2Jdn2I
6QmfuuoDbNSu0qgN91WYs07VfZOqqfYfeLrc9brySqIui9tJZgnuZqxglkKxMYP4WZt0n+bZYawq
QI44OiWtrxIh+Ri7ihdvi6D0ybTU7xo5LnGRleFpO5RK86VcG6R93BA37R+L/Fz15sFO7YZLHe2b
PvKrtMujpPW2vM5zElAVzjhLcvC5pB5Fr4TNTTIMHT5hAMFiS4h5kwGAT6GWG68zxIUKLLoqfZau
WbqWU7rBla2OUz1elJNIwmyC4OIBkiO0DjLsDz5d7LrPyKyon89K5t7D4zmrctblYWjGJeG+c4nt
bQg1t2CbbsHUqAqZNoaeQXhkU636rhRnQ52/W3J0yCB+rmqgaB+xQbFubBCsxjYgK6jz0q0sdZ1U
rOguxrYuEpQ7ux1dtKwCXuotZIryGI+tUXbU8mxYPNu4JbSx4dnpGFKUwVwoOy7mAU+qJhDa86ok
JMFN6lK1ROQtIQCemIyZrUs11k2dxU0bVDEA323enFRSTmrIxulEQyislAzm8crx0rzTKQHnoTlO
77rULIFK83CuFcrtjGI0lhe6w8HlzLju9a5jo1Syz1EPMJOPh0ZX5lD2Jf4TMmB3aIMayty8g4WX
lZVqKfCcxTiIbga6pNcED2xlR6hbVF94qE+1mf3OdBXeCB31m7DNxGVn5urY92LYcd/wSzozthlG
0t2JroxQIvKheNc0UX83a70o17bgjCMETziaaJ9a3Ox6WOQ2IpNXo2BVXDSuT+AL2A3U0tP1OBT6
qrcTO1QhaTY5Ns2iBOrOKNj0gmgCi1lkf52R6aGtS7KCSqg4ztGIzzyG/w1zGsXQuDgCb8BtrZwJ
8BlkW7zSbKyg5Mi18j44CUpUqapm2ToEYKEibANV1zgqFSk4cDxLCW6L2ii8Cus5WEWaTAC4G32K
NFqRbpExyjhErDErtsKP1XHU0S6O+ub1LKrbrp1OF18EqpyK+6pi5S603akeOxojP9tW0fmtg+JH
gg+HFPvTIfJ/NtYEx0WZ5xff9lk/4czumtZ3RZZ/bmn/+vZfrxsNfz42Xv/7w8eO+H+/2zw0j103
7vlNj4zm17v+3bz9yCJ+7eR+xkt+aqv/D6Tldy/+PUYzBEITGL/vcZpfO4D+TWp+HfWZ1gR5LBRA
bApodiGIYvi+T7SmkCA9A4ZCBIPQTCj7N61JHttnCFCeIgRp7ZHY/DeviaDlNaQSfnRACHBImP03
vCZM8ZTVhBlkBAQOijAJobX8KasZkWIUrp7DVc9zeD4XIEGAfxLzpx78Ty34nx+Nb+lToG6fTQPl
H+RlIGCgORFC49NpnECinDIjVuCK458jCuRaIpp1auyrcZPpdtx8Y4UXJnxsaPnLjIKHH+X7iGL5
uKJv6NpIL5UcqlSsQgxVNHAwqM7jIcih1jEhNYDOdHElh7Dc9qm8HCYUBcrCqD+Np3iDbFQeO5HT
Y2xHsiLLUB5Hvp5OdbYsJ3iu2tMfrBeI6r+sF0zOOAfxO0SPPbbfrrcMg8pPswlXVdro+2n0VexC
DH9XkYmSMkih2spCMalCNvddg5b7YZbTtc9KSKBDwz5kw1C9Mc3cHwNv3Hz4/vLIX58TKUJKgaOB
oAbPJDyP3y4vjCxqy8iL1YBbdlosuJrjgj+SuW7K9x7QdaMMbpt93dN5hQKUbR/TKqDoELiRmYVv
ic/0mZ/zPcbtDuXBxZxhrlU6DsCVCztW7ygTcjOmrDuvG2DJhgxXG+1te/n9vTBoBvzLUUMbM7QD
Usok/Pt0L7JYJtQPlK9ayNonnncynuaZZMncyvx46oqhijVFfBU0bro3YgJ0VGsTVcronm9nEQHr
Ms/9O8FGGiiMzYmuAn4z42rtHD8Nu4IkJizGOKyD7MzQYdz1TZ6vuqx813ILlFDKbyLe00MfDLEx
/kz6Yty2Xuhd1dUC6nxjT1iQLi1U70AqQbLA6TrXRqgS+rNXg5dMkXoCaq1F+b0UXbYoPNB2z4Vd
TvsSCHiVQzTadxpBBixJEPVQJc3lzffP8qPjPlFFQGkANY1RAI+Ygszy9CzbUAPqc56vcEr1WYMq
s27KCZ1IIjeQcT4E5QScvi9mB2SEzPV26Orpg7B19561tj+12TRqRSwJd1NT10kYWMAhxoQ4DlLa
njd547bj6LJ5n7Xa30fDhK+GNm32EeTLG0yr7KRdBJDQdVsg5TM0n8hqKNf9INAPHhyIrH95cMAz
H1MC/E6Hgys826xE7Rg+OoGr7HjINJQtj0fLdi2oVeeBF9HaYkxUiuvlAurKbE9bDkoDk7Ld4oXJ
N9xx/9BNGbr7vh1eiK+SQQcfNL+C0iXFY3T5JtrVmddjzSe+gjqLx7RrPuSj37G+mpNwHqFb9atq
90JsfeEYoFUQesxB4AChLgIR9dvJGsgPUIT3fOW9C29Q45tHLy7Pvj/LCwHxySzPvBRIy0I42vFV
RYviAcGv8078YIJWsR5Ylu/P9UJEgIZ6yNGQUSVljyritzuCR7JsW2L5ynBK9jTQy/0irDhhHUWX
ZHYQdk0zRQ0oacicRybtku8v4IUjjUDafFQxOfRgsudHGky8tTlQsnUfjtd4sgwI4CX8QRZ+7Cx8
Evm4xAAcQGiEEA6aQQj9Vd/uk0DIlb4uxWrk3WXrCEg3yG9KqItnwHVRcTYbGtN5up8nHw95HZwt
AIcV5BOZlHTySTQMLu5z1lwI106bMOt7xedLR1obg5CHVm2RQdUw5LuWzUD40GgBImSyD2VWxN8/
sufPBwdJGH6PApkSQ0sYoiA9f7uXhS2VHUQXriyknTgdCqkAIAOPJprgB9b5y7HBz48eEx9ITwJ6
luWzxyNfUlKHQxCtwlpkUEBWwTZEy7jPOlOvqUuHLRx19INJAQo+92oBbAIKAS5BZA05wLOnW5xI
z4nGU7oa6+k1B7F0RTPZbaJ0nm6obbRQeHaXQVbsumx6F0amXIdAcNyWGcGqR/kesI/yIWjFNBXn
UCShBIKb3RRdu6l7EK1cWrxLiXvXjBjkzKlRUlagCEAxqCyQAiqc5h2vRqa60KHzSExtbHWtosLn
GdBCdaAK5BHoTCk/lU36qLKgk5YE9TqcJ6h2UhIo2uqLweaRMhb4A/AnH1YxBP1dxSTITs1wtohb
1i73Bi3uzCyaJ4bz7MY1wXAW2JKsp9JlSbqUQIpbYBM7F5abGvgnBO/r8p1fApzMQ2HyOJrdeE/q
qNuwHFRXpXvK3s0FkesI6ddtO553cjPAPosyw3dpwbsVT7VRRZDpP0POi0X1Ne/W3FbVyhRRu51r
rmPiO31gFuRXPAsQ3Ulp+xUugS3F3UAeHK3kqdahWxf4UewoqimNIzymq2USoU5SyFJ/Vs5Mq8KZ
GbQtHwMXdMXbokl6S3WmzAC0c7zY3O87mrOLNAdJLCz8aqZoFTXztsnNsiE13abi9fBYX84s6T2J
PviJnlTT8NqOw0MJ6PK6IE21povRq0iOb3Vuj52e3doN/XiaEouvbVnSi7HquFS+hcpdeehdUNES
qYjaCx0t13M2yNOxCtm2b7tO5UMW1KqSM0gvQT+edfMyb/BS8/N+lPreODDb0EnEgDPIPsixjzbZ
koJwC8TqhaslvjG2rd9OBd2Ysm9Aly1ned40ur0IKpCG1ZyhnMeaWJ+4cvRv6mzpL2jqhzctKaPY
Bp1/HeQgELVNUB2C1gJ/PnfBZQVA6zCUNo/LR8IFWx3CzKI9pEswrKppRquBSXwbpLjbNaLhB9K1
NsnBetul1CAsDfX7bgz9+/JxhxPiwaZLx3OUsc3SvEYY41hqfwb66GkahG5TonLaNbhq7tIU568b
BI+kpUMBAFziRNoKHwdhvSR9b/tkiYAHbeaMX4R2yg+VbRZgtz0GrbQzHyRy8zoYmT/WbafPDJcP
ueXvDEJppBxu2lR1pJjfhi5stiybAmATItDjKPRFDC5fdnIqjRq67G3XurdtNAHH1nPcva8bDKyF
rMRWR1ZvIuqbVZsaEkPl4046EFWgW6MT27Jr63UXSBCPKSwKI2GuWWeC0wJWlbQ4hZsrAxJmN2+t
ttMO91Ss4K5sQ8LpJHXjA+XZvm5mAQ0HkTDKIDrHZZHDDUGWX41zJFfjPAbrikp5lrq2WuEmkFd0
8O+d5M1l3U3ijA8QFcAHl4TRYtzVmp8vLaIXQ67BJmRoTJK7aThmGBS6CPf5Oo+mKR4iEPBI056A
opSriopCZT4vY2Aw8zc9zRv4rF32CFnYYGNd7DlER86chwRhgeLHOfzAezDDyZjx6VAsaX0BTNN0
2vNAr4IWdPEc5DLOinc2126didIkLKgtxNUuqcZoTOYASMKmMlT5YCZ3dCoHNUkLUlWUA/1XZfYc
SPMoUymUdmJNNbumqeUQA7OyW+VAZeKwOgt6NFxmqd9jPYK46nZLVb5Oq8rAjtvqgqIZx0Awk3u0
zPVlO5aA9OW0sE3pSAjU/2LKZO7EWQc/0ExMmy9bO9MrnM4xiLFEDQOIt2H4f7k7syW3cW3b/sr5
gIsT7NDwlRRFKZV950y/MNyCYAuAPb7+TO2mbOcpV92dLzfivuyo7XIpJQpYwJpzzJVTDhRkymIb
fO5mcyp9umui+nOnIpaobo7yRbMgh9n5AGt7N5TrfNXRubhcpr4yCfX08DJChd/BHOqKjxLt2ZyU
Rcv3oFZGdNfOnkZ/lGnQhtk61PJ6coNIx2Dx03IJXZDyfq0hzloYyCruCMyeDoRDHKm0X4oLXDv6
vK+q+tTD8bklABz2yuu6y7Lv9QVlQ38fMXNX1nDA+yYmn1Rk+0/OenXuF1w9F52IsnGN1KUqbPiC
d91nw1TT625WTR6vwuUl0+Wn2CfVhRHelHCGk9MGm8G+0PFhVtOU6rFCO9jAexhk3x51SBVKPzW7
2tbeVbPoaQ/ndMMat3fW/16X0BESBrfyUYy8Swe/1LcBZPR7Jmtx0rbZTtzx6uRF4ZZFzVh86Fy8
vUxNrdM4aPz7VRqTdzTCWVgGVR7ZUX0UPYU5GQ1mPxvBX7T0vKMq4/6iCiWO23K79Vhd7tY6lLCG
4jHz8GkvF7nR0zgP9LIIJ5qVxew9Bl6p7ho1hkc7LOIyiuWUeXEFKbkV+Kchnq8Nr76CTqkeS9p6
qYqkd8ASzcw0fBYtHMKuwX0x4fZcXeKy9Ouk0bj3O8624xCFWUjshZ5uqKeydmDdzdnITaRexZj6
mhUZmQS/Cg3r70en6FeqTPvCg46mhETPWxHRXV9C1e7MOOd0mW2cjG6scgBLXUIAt1yMtWGoYZHd
A5cLd8qrhpQTax4InSMPF9Mmnvdc0/JoQq733hZFSeOb/uymYuEXoyV6t3YsOlZydsdOeB9ENPJb
mMFzMq2E3HVx1Vw5Zb6yIfAzr7YhbsCN7R46O12TITzwIfreCXshaydvaR2zHTiceieXsjrOIZ6z
5IqmJtyWBHLU1SB1NssixUWt2NuiXTQEgq3MZuLHN4sfTzfjOMgntJjMT7pG+fs46liZ8GG214CJ
i2duuX/ftqN3FYyLvgilXK/WdR3g+CqvTWZTlo8L1PNb4kX0W7h68Rehyu6iVqrKYPZ7V34hyM6y
Dg6VwqVvX9AqnBPUhe1TEA/8sp2HjSQy7LvMxry71x3vjqWp5m/NsrIpqUKiT7IUcz70GqQA95X/
RArcSaqyjsWupzivZ8g/fQJqzssjWIA4KidTPEban/DlNzGukUsrz64krN0Bdq1OTBm4RA1B89zT
eH2x3DVyZ4dmtIkuy6LIKsAlLDF9FV/XZT3vAxhdO/Av0YpiQ+irNDiCuC6aVxYAwoopISDZYNsm
y9LGV3EDxjGpPBa2uM9U4dl4MUPSGOJuQCugPo520Dd6K4crMDb3LXOfI159mNpo2pflFlxYWUiY
sO5lckCeBgcSaitre4Bv0WdBO3eJOB83XsA5brfWmbNEtO66lpmdbsR0GYTW35fFVO55WBUXLYFr
mdi2WI9zuezBRe7gAMVwaAeV+GF7hvW2roLbq/Rzt7rTVHx1Eb8XS/BoxfzJN+VRbPIjrYeXElnL
QytJe2dmTxwGr+Np5LX8sgEdOO6aXrW73vMHm/TOxdetp+0Ow13coW3I5EOKCnBPErS7iqkdH8gA
/87vBRipSAfTdd0pGSUDo/TTunRCpXgL060pqLxr4vWhWNvw0Edd97o6z/WJXbzwAGlp+TZXxfjg
Wm7ybe1J1mnNDx3ZpEgojr2v0yTOABwsOhkx4HZdqHPsZGHS0fZ3QlbLYfZ8+dr1gFSsP4mM9bJb
UxlfgKvQd6yG4JL4MZi+eVD6yGm3PHtW4dARYg5NoiTVKesdelYPQ3OSqWDqO/6bLmts6/TObITh
YGW2jFLnBnJRL6ICAiuHG97EqswiSK2ZDeL2co5KAuSE9XzfVCXPYTSNKLlRH6a+Csi+G0A7kZWj
YeAQDZ9Kt/WvaNi9EySKPrciiLG5pzgnksgkKtydXy3pHLfd1xGi434NR+8T9nCQbeFSHOpJuFvw
DVO28rjBNRjI4zHsBLnyyrCoEm+19VUDe/7G4vKR0bLu0t5v+nwqhNqpMPJPrRRPzexdBO3Qf3aT
VDkMu/Ihmkn/4GhI0kmP250CmoamLmZ3cRx4H0vaxPdTHQRXAfdgnfqN/HIuhR9b2ZcP09Iaij+s
/ZOtaJDoisRP3I3jIwiCOt5No/qCwtJcl/OyPi2w9Kud4jU4FTN0H5etM/gMZX0opXCXzajg6ztp
7ma79hd9pcMjoIjxWvltn/QkkB+UnoobHcgOGwjay8KEOrW4sH1oYxW6xE5xk+POozUsw4hkol3j
g5n5PJ5VBnUDZXB+riMogyvZ2os+hp2asH4Z7ryh5JBTnN0OHe5rJ9aM7NviAxuF6QYWDdCmvjOi
2royIUsQHClHf1w26CYPtYUom3RqafamEt2h7JbqwzC09tVUkednoQfjIOmN8+IdLufV0wT+ZxeI
zc+iltgh4W2Lxga0rXdpyrm8JszrMp/2+jAXdk5I6Gu0gaW9xTFZ7W3omhC7xEgQG2J7Jn7XPRFF
mhSAEwX65Ao0h90Ir3K944XgWPxzPR00PgJJtNDdd/zfiKVL1OBqWW+Cgwsj5sx1SUHvSQlImdsK
t5AiqKPUxHJ48kcfgqnn4X6Hf22+NACsstnNwY0/txbtPS481wUY70+0LKrXjpLOZoVPxzntu2hR
92EJhLIBdeLtwDxN5tRHAyqD3O7xQSGha7sSNFVtmONQ3/KVs/ZQh8QLn9uiGL7PQdWgtYZy2F0E
UcuiFI0BXU7xpliQuAIQyK7ZarvscJMm5Abu/ihO/saaJVspfZnatT1oJ8L7xoXxQREFxqOd+xGG
MzNVj91OtcjQZy43MHoNSoFz0wriV8XlHp6z3o39jMstd0JnQOi34BLyXgH2XVEYVaKvXEIXQ46r
of1VHcbDk5pplS7EY8liOPo0ItbvTseuhQwcLReO9O1n6ut5P+gGR+SGE1Ym3jKHly1v3Yegi4bv
JXSgK89R8hUfHWBSsQw0EYUeL3AUogzgu4m6bJtaYa+pkNv10DMgZwJw7H6moKahhknU87ltlt0c
AiMwRa9v1Bx7171Hq49oLdEu8sWIz1Vla6jrKNwfDGaA1ZkIl1M1lqJPl4V0JokXpl8HEwOw0FHx
AksJ+2oGHeOBUn3o5kJcFpbKek9E+LkJIEAtQ5lGYwTzBHpmDpzvoq6XGQ8bElgCcEDeq403j+u0
jvvQ0/KkS+Hf1LQmED7sZHkyzd2w3zqAh0CogkwTZcesDXr7IazYfKhwfD2D6ihGVPiSVfgk/nBh
XVV/6nFdypalHw/YqvJkxOTf6qEiLMEJCA5qDQi4zXEdiy5d160YdpSXOCXX2V1Vvo/GAN3w54Aa
cYS6Kk/BvH4b/PmbHciThxYgaSrlH0OfwzHvw2gfLSihPe2mZwvI7kLEOr6sIqm+zbyVKnG92q6h
bOFkaHGxBk0R8CkxkQ8Z1Kohdasm34Z4KXQCb+37ENBl+HL+ER0g42WM79cyKmnGghmMgJsVWnvk
wr0t8YDoJdqfwzQq8OF6kCOmdc/U2hl+oFs+KwD3dTqLdbxZC347lyO9GlGDKT5WsVPjOkDRqcPp
NI/GHe0SjQl2x6uHV2FJQGgE0JTXwNc2MB4oEevObu6jmKDDyTxuo1duxXLjGR6+DPjoFwLHcAJ9
cTzC4+ozqEvhM06nNCKlcUlVbPSa+OuS4i5TASSqgZX5DsRva04xs3NajEZ/3ZoVcls7kbzQ6HXJ
Wuk0NMtYpEW38bQXE/YBUCYEFDx0zRqH1QKQCUfyWAdrzqwjee8Nza61DOixnAJ9PQSk23uR5Ucw
1dJLUOn8By0s+wIpo4p3SyXArxDwVc4f7lvwRbd+AF0wJoAyOZvCq6KY0rHCOtzY1stUCCD++MbH
JXUB4hrotbFiS/BJc/yykJA/l46xi3qzOq2F8yHNtuuO4uy9mCqg7mKe2E7guvIy+wzsIW3bFJcD
nQXrvKRqNj2Y6Xi5WhdRR9ASyAaisoRb16G/uuMbumJgk/PJ8lh9kdbhAAbPnIYUNlqtZPcE3KR+
lHJy94RI/gy/vkdLpArAitFkwkxIr08bVvnhLupGJI6IaqDBNsHDuHUx+llggWiB9NF3QOp1GIrU
ngnawdRzl0YAuJM4WluVL7hL5jimKy9R3AOVUlMgtQBFJa5b2/wRZdQAyQK5FO9jRAJcUjg1IoyC
x5Jug9HtflB8ukeqxDs0uN73qKbCgD9aA4AvMV3InWq26tr0fXEhTDvmZW8b0LCUXa4g3w5L7Xd7
YVy1o/OAHmho2M4Wlb5Va387tGH45K9F0tngo+rZpxigd0J7tp7pwtlkrAScu+ssS4HaXzFQ2Qcp
S+9e9zRMTReKi3Zbmis11I9dGQeJ38zld+MH/gO3UfSIFFRxVLiCZMTMD6CjQEsVbLlf2sU7TA2t
r1ecpEiUddkgq+m+IE4+MNe2+TBatg9aqMwQdMOrpYumnAJf309D3yUwQ14nYb2TB1w8X4v2ODeW
51OEZVSV4/cR3crXzXlpqMmaThuiMyt1PJnhfNVKt0cv6JvM2K7OeTlAGyr4iLQK1IHMha58HKdp
7+DHhqbDdwyvK/O24Us0tO4klyW8EdMIrtrWkQcCHJW0g/6UR4U37fvaQzZGj4HIAnpjqEErNtZ6
Ti0dpn21IcGUjLCWdeaZ5iQsaBENYqnqrmdFptc2pl8nQWQ+kdU/bt2Ivy0adjd5Nu0Hdhm48UDA
Syb9KKOTNeUNtN/+nFFB3Ku66wn1PpfaLShNaIeDpV0h58/bCQLYUx1HkBU8nsJ4AACpIPbNkz6G
FhGarorQS6zN13AsFPhp+9E5eQnM3UeCTvU90iEBUG94+wGOA0L3mqIFclQdebANOulj04Lo7uBk
4erBT5SsSHM5NMis2XjSh/ScSWkriJRoJ6gfrx87EbNTO9dgqXuGpn1a9xI1d+dxWc+7RtHPfdtF
D8zIbspkGZQ2WUjA9tFWjYdm2wDMoqsoLyhRNcvD1qevdvaJ/FTgD7A9rWboe2P/MYy4Qq81Q22r
tzmrsW91ekafnRBbvIdBASnDqu2uIFHxYHQ4JWqK+zjnAjE2Gu6kMMGFoYGCgTkvy3aYuVOfCl7g
VOQVlpRVfl89EuUqWI5+WMafpCpQiDG5h6ceUObixBT6kxTpR395jeOqvoslp+ERdnbVpNsEfwQG
bXXZgPRNXY2QxWICaKIM2OkkcR4yDxYC6mnMTFJbdV8tc/0wjRGqLepGl4cVgjuIEnQUHIhi/FUj
MPZp6wP6teZ1ndgontpkiXFvHtDXpUG/NnvnxgDU8eaPwCZx3Dcevmo0gzO6xQLM/50g9gVCsc2q
YLGwMEd+wRmFhk94EkUjRbVCXszrV/S/5iasguPQ6k+l14CuY8sNxfmOCOlNSORpqEbyEPnLhnCQ
7OQdxYXkCiuufC1MZdARm2QZpHfJN/+rpeu0kxsSfM1sFNylzSRtFedzG3+c5XxPzfoSFcOKNFuB
a0blQnNca/wsIcc86mx/HWNkUsosFnqrIDZKZFIB2fjTPc7uDidkDZWsanSboQ1ApzqSCAGoxs3t
NzfTJrVROKS49hwRWAiTkRfomSJA9B04liLV8bA8xMiNPMlJu2RVCGYFDTXXFQAGr6mvhpAUmb9y
f+eLEiLF0BfFC/oF0Iig0syO16E7zn04flR+NbSpZdt6cuPgyXSmdYWLr4ItbEYcuu0kUfLKVEAv
2CoZHzbPn3YeWp0A9aftr72mow9miX1ctKCfKo/AHKHVK6JQfr7NqLjQVtcr1VO7C4rVvWwcXVub
wsqCsgHUW90w274six/eSecXcj+M4fZRe6o+TLgdX0XxyF4243yIX7D1cCVyNEVqLPau1oZ4JuEc
jwE8GKnydpDFTQhp6At6U3Qhriqu1Sw7CBV4fniSpDzn16jfPKGFU7vBIqq3IbvS+t4pign8gmGu
n9rRHOyklz1tl+dxQPJv6OUTDORc+4IfGnhJ2eRA1nvbZpFysRQad0VuQglLEXVFPY09b0CMaHQm
MxZa0oBK/d45da0Nr5NIbTkP7K5bmj5j9YIjG0J+6oSCAl/qrAzCeTeAtJmSKNByH29tgB4fNAzb
RVR9DqaAakCNejm06D9fvC6Gtsoic6RVYL52NfTY3RpggSzKFippTTw/NNQP1tT4Y32oixpdg3P8
kpeifQpWhsjiBLEuTr1IOrwvbhKkEOVdaerrkU+4WcxaXcA5geWAOPJhtXHT7qw39SaJ2sXdu1V1
wPv9BTmAUgQH8LlNA95igp2wVdVLhar4xfnWTzvANQ9MFzN04lWrE0VgWqOBm2/HGrbZHBRo5PqA
nBoVaLRMpo+ONpijLmV0qa8X3GMu5q2QIyw0HcFNK9dtSFzTY7OPXoBc9YhHnpJgekbyqUT/4USm
2GzzRfgVrnXBkXGNY3ApaU4H3KASNKXBFTo4hFUtXEUEuoy76/TXoVLkW1+vJLV8Ipf1+ca7uEDd
g9frr8N4ntK+barbyjl2wFYKb2PIQc9RGfBMxITuQM936PfomARuCFKKGHQaVYhSwMurL8E5RbiW
IZtQFGZB8hzfz4y73H5Clc5ZWMP37+3ZGTOF/6GB3HBRwAXa6Toud50K2f3kYnVV+z394sccAUWo
ejg86mpF2DaiJCkXUqVNOSGWq8cQqLo/Jbom44tVJX3wsT7vSu1jKclwhO7g+nsKVCvp4UOlOHmG
XYUiC4Fqjo6e8RAp6OpN7URN2wfV6jqfBjZ+MAVqXe8hY5QvHci2ZPMqfOKWTOWcNh1S3Vrycch4
X36JwNG+0lmomy0YzA52IkkDgIpJX4U0xUzlOQ08yfCkmj6tunA7lUTgyJH9jG9n6Y34RBby2ont
m5x5eEXj8BYLCmo91CRk/8bqtiR+O+2mCoj5bonKdr2OHazrXKPrnfIexbNMSzvMByxrg+tjCMl0
aUV59Csln7jxhu18EM3ero+bbU0JniyQARdfdrNfHChv7ZdAIl0Gzb3g4XhjSAvy3Vt5WtcEgchx
qYDPlKMq7iTEogesLvWh7rT/sgRhs2N8kJkkVO6LvnA3rOub1HBEJ5NiQ1ZhbHzvBdTl+FS7AMKU
aA3kcOeLY2kDkwIbk8hTOsTyCq/OYua2BxMbfdm1XbvHadFkjCON1K2eRj/qzQHsF/8fXfKUrmFn
TqRC9xXIprmgm/SPZIzH4XyGhKlrxLYfotldQ2gZj66syadaSvYcDrhod2iSDgMpB+iwvMxXVam9
P7KsCdbpK4lNcFRLUABRRwahSUtfXRZuWW+xIhtcqSNkndhcfQnjBlp6Kd0D58G8JBv6Hb3bYB+D
YNhBNU7AN+J/a6gkj4iAxFMKc0OsiC+Mw4O/tsN1VPeGXnuimy/Gze/ALpFlyih6rYNRJRx0V3u3
W1giBkxY6x9iv2wyzUYwKr6GqhdX/LGYw+C61D0uIj6HaNMEC/Yztp6WA0xM4Zqn0rZASAgQKjf0
V6QnT7wj30KgnY+tJua+n5BOIf2qzrfafk4jpZ49YuebbZL8MVzr+Z5sCL1UFdJ0foPBC9X0Uvds
uKV+uL6QohyzCiDKKeyVSCdeTC8oKy+sbsKrjZzvB0tbX4d1FJy6ZvDyRpZI5o+qTgs611/nuRj2
ZkFK2bazQqvioToAsDqgN1QyNToYyxT4Bz02fDD5bIV7baWxWzJuLvjShgT3sUF7SDLgnnyqFJW7
LmLQZaOu3Q0M6UqppwAjLs5oRDcJlCZEy1rNoPuwMbchny70UvRpyXz/hcZNj1qLd9ViakLr30Fs
VafZjeEemm2FV+XrvtdefZRTE95qboasjWN/R8pOnCYfkkbVfV+g17AVZ0ZTTGuOa3Rsky2MTFJU
5Tn4WHUHw6AaMyFfRVl+BaX0TUBtTSVcbFX4+5UDUTMDq3Jt+m81q/skZiTvlG2SdqtR/LZoV7bz
pbTycuGIhk4oO0j37tYGxhDxN2SPZZlhy6aTH+1mxf1jM+uHbfAPIIZS7s3lYau6JqWLOociC9wC
lxVGlpgg97SDl8iAHJxnLpowOkzVdhkZqN8bJmneQ+qKDoNYq300SvDI2mGEPtz96iNHVGNPuKyu
BFf1QwD/65F26Bh7pyCFt72f/x+HWRdQUrsi4/UoP5GyjK7QAnuIYcs67wY1PP0DzvvX1Jl/MaL/
nJ/yc2bjy08Rjv/PsiDoF4MArOFPkOL/GnCz+9R+6v7rU/f1v3Zq+veIqfP0mB//8b8yIcF/I26B
P8UmAuSHvfHvTAjHVEiO+TeAi6Cf/jLqBmPY8G84jGEmkBjBb234OROCuUaYNEWhgvvoCP6jTMh5
fP0bTPQMwWKMLvMj//xLB37lDrUFhB11fgTGTX2fOLvmFrlRFj9WBU4GUE8ZOuMVkkTxqGRwpx2D
YIjGP/5YLhgagE4WEUH3XE8s14rufWTgqktX2YtxoemK2QLyPA9g8Z7RKOZYkHvtaF45e/B02pcF
WAl98m3KJrFnSNRWpruEr3FAqO1Ys/COWXpNWZjDGL6LCv866pOAyc+rLPebjjPRmAdB9INbi6xg
0FDLPq0RXm3Gz6552KTJqtbldGWIZC1XXIvjJNtLxBquu2h91mEEEKS7ZRQq7rblTYvyAhpoC4pH
tyFvjhEfjwOTB7tUN20RwQsskS8ZqD24YsGgBNncjZIfQgjTSEjMH0cbP3rCvlQoYwicI/9dnDPF
0OLb8QvB1QpK2WVUNdlPK+9PIG3//CX9TOaDj4U8gCGi56gQVs0ZOf4JCd9aGwylh8R2Y8wO0ZsE
FsQlYvw3dNtuuAXzV5ZnNZmD0oCbj2/mr9/AP5jlX94AqFmPI9lDGY+8kL6JBigTix75IlAgOJm1
VpdisnsMBPATDKgA1l0GN1EB/eM8saMy7nnGvfQSWShybFmoEp5828LR7h2DhDfDYd1zHwHqoneX
awNLHogmphRJcvTGOmmRPE8jisYi75Yths6AzkksTbaEEATWBqpTDwGwiMOTWW2VYCQH4MAh+LIt
xYYi7CBTqRypfGAMgf8hNMEJ7fmVqKZTh4T0RW/gZPznJfLq379W5m0Y7pdC+tu/9f8uMvfLqLNf
Kp0PDvuPMMH/qpC/DFj7R2U8//1/FsWYY/Atkm2UIujDePyjKP4zKIcxrR6yUeKcofsx/4v/Nybv
YaIx1hmUEXoeDfavAWDsv7H4IkwN4+e6jcnf/9EAsPN2+bGaCWLrPAIBfB7j9/M2Goq1wJCDmB1K
fxfTm2H+j8IUP173zfZ8b/Dud2/7DR1f/REnQwzX2vuFOU8+yr8Phv2KqP94+2/yYD/idXFAB3en
/TaGzBdW1Me4Ka/FCKPQjMXfxDR+92HenEc/0oMruokQ4fRzcrDfmPj401r8k5r5K+f/48O8SSe+
Cbf5/hK1D4uHi9TlJsZuzQkkaYtL4N9H0f58UYlzHuWn2qyF968g0dzEfL3oywkuVDQAaPibU+DX
YMsfn+g8J/TnH/Aj4oZ5EHy5YFtYBKnGICgMZKjLKrjypxoWvcFAFWjcmMPgm73XlbM9/PUT/c03
xt480caGzN/WigMpRUxEjph2Bd5MyK9//fL++XX+ZFeKN3kZ/UfsbJISWNq/02a6hqFYJ/8MlU0b
J5cYAuLX2RT0vcAdXYqgxa8X+aN+/cma+c0nfJsv/ZPEFce1/n2PT7wpOu9MWP3urZ///KfV92fJ
qg7Gw/R3F4DffDdvSk//vizT7978m8LzI6o19sS5zFuhm+yY7nv+zrf/ptgEf2Sk1j6CerkxtkaJ
Mdipu79eOb8pnezN3mxj3LUqNPp52wyYvQJUyEzPoXGxdwGROeZ3mF0ZsuNf/7DfPa43GzGoNkwT
GDT62H7j7BadXjk+t+NIvr/r9fmbSjaApfaWlQoEJvw222REALKpGgMp//r1zyv+TzY6f/OwYkze
ajD6ssiRHHDtHnKInrNm2XxgLwoZn3f+mDf1JIz6Qiya8Bz8XgBTlPWdB8wBs0CQaBuX9X37mp+X
xE87z4A3KsK1FbkOavdYw+S56Tj6qvc9qzdVY6lX4SPEEiN/saqsGSwPL2W09eZDTQXy2n/9U36z
ot4G1UshdS3QNeW2ibYjopLeTSx9iCTve/nw10fUF2rz8HDQFnCI2mg21+iVOQAU73v5N+VjmnnP
hcdYPjf4BsbzxLdoIly/892/KR6TCrsNTIPII5hB+A42AQZuACTp3vkD3uznGtaAieFl57Hfmu6o
MflnyWzF3XL7rgd0voT/vEThiYeDT1ZQ90OpnrkYhttVSaB173v5NxuNbxbjjBB7hKYejeowunCN
k7I+QxXv+wFvttiKOZ2wZEBU1IPUEUzdALNqqimyf3c2nyvPn1Skt1FrDFyQXguuKIeVB8S6kiFE
/pa4mV3IsWjrbJXB1r00rQg/Tp1cur+p5L+787DzhvypeDSrxKRKh5lGfSMafVGSoQCF7uDoqEzA
OQC5042Vm1OFrEu7r1cn+Y6BYesfMHGNTe98wG826FYwwkVNirzlZNqFaoF+yYGv/vXX90a++OPm
eh588vOnpPO4KhOYOA89Z4Ga+cU8wkZ3rjnoOOTbjRza/rsm0dIeIic6er2GYdCBZRaiehE15lr+
zVv5TaFjb/ay6CqKGXIqyjUvhjBlDuO61nUx76uj9M1Gm3zLRFUhanjOy7xSHD/Xg4fs2V8/x9+8
eXpevT8tFhOCiyGExzlt0MlAkBYYkzQpuw1/swx+sw3Ov3Hg5x8wgCekwYo47QgJJTiKyFrv8wpH
0O4AvHiYBqImDfYUeUz5RUOfCd753N5s8HDpGnzLGI3LRNHCkzTBgFFLU0TeWWLpm2P0R7B8MtTP
/m8z5b/7Yt7sYlZgGHhlVpcPE4gP14EjZ1ZXf1MkfvfqbzYnfmdESVbcJfMqUICrR7jWBRzxdy6q
N3sTbUmPscE9ksjoGzEbzP/Qyejvbnq/e+tvtpvPNORXRH9zybfxato6hMoaU/rVO9fN/3B2Zk1y
4tC2/kVEgCQQvEJmUrNddnl8IdrubgRIDAIB4teflb73waVjt0/o1dGtVAltbQ1rf8vJnKI1y0gh
cy2BYcxuIf3tThVNWekVbz+YMz/FGx3XeFyAUC8B9GPFRvm1jD76E/PgN2PjsufTnoCXy/FZgwVV
PBD2rjkUucxvoftxkftT31s8PYZbNR/lFDXyMmf9VcvDjst/j8w1bH6RL5kTr30Vi+OIgq3cgvgf
MC5Q1wUuydiXy8YTz7/ACVmKF3yg5qqtpCj0eQc6WnuO2ND9gUjyu9G//vtP4wNQAmXbkWzlgNec
2zSLzQlVI57LDXNCNlqUrNKjNWU9S3bfSAVg4i49u+5ELDIpSokjupQoqqsiKDkJxMJiRwHpf3/c
3w2NE7QAyM4dij9QDdA3+x2ecpYHU1XSM6ickAWYLFgj0y4Xbeptfk+3MJVvUHkFfahX96mTgzsQ
Qad6BaYKyIOj6Mb4i4XC8A8T/zdj42Km4jYA4SKt1vMkRZTT2QCqkWXGs+tO/qVjywgYjitGPvii
gYaAgnyv/D4rdWK2Qz13EMzJ/+86IxOBGA2FoX6j7kZrnFZgfkXrOdtwaUyurc/+A3P9HD9FK2wQ
UCCKqo7z3mYgvgEGlScJNP9+fXeiVbA4HQCbQOuM/DM1TF7qpva8erqSB191fQeqvYEzwjk7jCol
h4RBdMnutze4PqL83Pq+UF6hoGo9x0uFwrBoheZ9rBa/9EqdWFViJPD2QDFjD+EaBHLNPwbSI79R
v9q7/tz1+dCwd8Db8ll1guUJi78EK0wNvD4pcbbKYRVr6D6D5QwBVw/tZAMuBJR9fo07YTrNGTjP
gAtArwPgbdKiGMNowj1bd+IUNcaA/wDtduaZiR5nPI+8rXgt/Z6oXCrWbhgK1tByCfElpH1HD+7Y
KViCdPabM8QJVTKBzGjGei0tU71GVeQImcFGlu9+Y+/EatRURA+7QmatZnmXtXN0mjsUQfq1Tl7P
SaOrkYK6YMolo1+jljwDiPDs17QbqbNtFeCxS9mI4AnL4xdLoAn2a9uJ06xpFI96vpTtJgDZFvHL
AOKk3weNnDiFXwDUZ6kxZdBABSVbqITJFPr1/Afx86eFHc/C2whlM2rM5f53Y6NPJFb/700er+kw
tfq/P+ZETpSmzQZVZRvYEs3OgBpDOZHkdqa139IbOXEKxAwk0sB7lLBXDD+zBetAPgOi6bfTiJyE
aiZJQlkNplSDPk7Dzr+JBgAhrwnjQg9Raz7xtdGoYbIajhJqRNe7P728/maPdBUD/LywZyBzNGOA
0i+4fWWP6VxHjzKoxk9+XXdClCxk0QtwniXoUSIHy/4zTxvPT+rE6MGGrK1EZ0odozogSvcvckrf
+vXbiVG2sR20LLQNwe0LM/YxZvMfeLO/GfDQiVDAdiB/pzWwMRWcjoK2emgOAAm8+h06mRRi6pEf
AQlgXJK9UZZ/SbWVfktL6IQoCjsB7x4wJlL0z0M9AKYhPLvtRCcbN0t3XHqfh2OFrIvcs9gvg4ZO
YI42XpJhxNkugZtDOuxlr6s/MB1/9yGd3NnIZRfGoNOj+nCgmqDlH/0+ohOSMgMZ7OjwEZnovuk9
e06PxG+dgiPfq2g3gPzudoMC2M5tBDXdQkogX+aTX8ediKR9tfdtA4A8yvJBzO27m6zKPvu17URk
J5sZPNgwgH8HdrdBCGJhRv0SG8p/Xw8LJvY0yRApWTTJnsczgy9OhpoEn67DkOl16+m8cpTrr8F5
St7r4ZRCieHXsBORohYTA7FwKYF4QX0enUE6mpIXv8admARLrba2r+YzoFo3m8Tj+0TbxWumwP3u
9ZBoA8e1QKLxFBBDasbvDbPac1ScuITPOIzj0mw+a0Xfxmh7N6tv205oRihgonSPcG1MaPhgQM+5
Axsp8RwVJzoFyjck9rOYKDEk9UfYfpCJ8Npgsat0+ec8v2eGbUBnLSUYVEuLUrEqGU4EO6DGa2kB
Fvb1D4ybYhX0RktZsxF1PusnPD588JqKrlgLZVWhhqtMcDamBozFoFoTaHHutY/AhdDrjmuxctxH
7+j4vr+F3eDdvsJOwq/nToS2ioeMCzqXaUcfJUj/qBnlxG/EXQGUqTU0l2ZdynCUzyAjFq0WXpsU
5sqfNFAzFkZAc0lI/KPCUhcw6/nXb1CcALV4UZghvYZ/oEy+1PN+1/D4vV/TTnzueoH1IglgAgcX
pVwOfAIZpPWTLrDUic8h3voMCCRd4gkJhZbH8MTp7PcuDyrq62loRjJ3Itp0OUCfAmCb0cE92FT2
nd/IOOEJcAZWRWbwRVf794wd3D6n37yadhVICxKPGAEEKbukfreP8BZQym8euuIj0G+6pJVMlweg
e2c4+pFTIPvvfv12grOBX+Gs9w5GqQIoEWafVPqnbec1j/3vJxe4j7z+mFuA++B15LpEuVIMj2Ce
tI8A8O351hJjC7/+O0k0hndlD/dNDRQz/SoF+xSM3Ytf006I7oC9y4TDxpEQWC2vMziG0cr8nuoY
d6K0JjBs1JSg4yz6pFZUJ6CK+KNfz50YFfDc6TRsnUogF9gGIocByadPpej8kjR34pSJuk5NKjEl
d+BTFHmBzdQfVNDX0f3VrHFiFNiKCQdmNF3Z7HkJmzcVTbyeoX6UO/2c/lEcWqlptRq1L4qUQUqW
56jeGi8pLkxCXk93wtcwXsHyLqvwsLnVU4nCGD9FF0ucMFV7FQDtIXTZrzBXDFeOysna73YYVQ+v
e75oZgwD+6/E8ni/WnIv490vhlyZUrbVEkXKtS55hZpYjjrNDJXbudc0d6VIGWZJuJNOl9GwvqXR
9KDDxbPfTnTqBq8TKPqayjlJPzWRfpbd5HWIY660qNqZ6uqx1WWCkYFvKiqxJ6tSv/XQlQsttJ2C
FjAZvNuIqdCke4ZjgN8W1JXTg2ItLHx5p7JuKEg0Gy4qziYMEr+BcaVILTzIjrW1iBvgIsBxTZJ3
sgkPvy/qSpHWNk4qiOGm8sg0KaKZPSGT+r2eM1eGZIIewOR9wHQZMgaMGsr7uxnVxBms0rzmulvG
Bv0saGSwXixBj9p40ePyDNaqbPJ7R4D/0+s1wHZApIIQO5YpmKwTCvFG9a/J+OZ5aIyvy/1P1+aR
IiHbsmAstbDzSQFknmOE4ovf6DjhyjmMg8M1BAdCJqQIQQMpKE6/futM7KTTRaKKZAaos5wZrEby
6CDdX53dAVX0672TTfdGJ3rbMTYgUIEetKgPO/zq/dp20ykZNuB/Dca9h/uPncP5AmaLuPFq3dUb
ATxN7QhCZ9lW8fEpHMAtZjxFda5f805KhavSGMN6eSzhdTPNF25Qa5rH1QCeht8POGkVj3Hd0I8r
Rp7O262+0nRhyup3pnYlRxye0hABa5CG2fK+qefnrVve+/XbiVaA+jcqZT2VvM++whMoygVjfxK/
XkPyFzuwqx/gz6E64co8BVsBTui6Tb9yPCrcmE6tnlPGCVWwBnd70HgoEakAA0D6Ar5SwM9+A+OE
qgZ3YhklWo9XC9djAGe6/k8qph9uhL8aGCdOp2aHvC6FT+eaAAwKbFDfYrHhDUhtNRwWuhs12u29
UbO8BXAkSMpFwE3jBSVufHqL+79Zv8+4Sm46vEsON20HWkXOJQBHT/U+peGWH6yd9AdgdODHFtqp
B2tUiGACN2iFl1sU464d4HEDtpeMcEtWJHil3m/NFKRtSTg4nrcVbM8sbDRwm/A5gLLXXiLazvxE
+Y42AcZfjksNZ4gZ1XawE7woQvbjNK+K9l93zlj1dmFJ0H6boximACkALmupd/y9p3E54nMbrnFa
9JxEqHq2wFbd1NFQZw9J2qNwK5wO8h7EgA0MpETfjs2sjzIcMkBZNiXh57FqVsfnlW9AKMdSrKyo
gRAbsJ/NMgvgXEN5roZGR/eARLTZLYhBC0xQMNpbEdNuvT2OQD3pfg3ZiYXreoV+6up4L6N24H67
EFf9MvUNDL2PbADv38AggrQP4qj9qlZg5fQ6tEL8aTGgWkNpYa1yBaVvbblPIfApftPfWe2vxuZJ
Z+BikQCDBChYkJOaZn6LpStTo6yy2AXLESYW6p+Kde/heeE56M5Cv+IZaZcE/Y5NVc6ZvAPhzG8V
ps4SH8OF1oKbOJYky4BdDuCfmMlo8BwT5+ikw5omHV4cy5qAObt3079Jq/12rNRZ5NsVMKmehyCt
WzM+ofyruQHxTvmtw2B1vFrlRdKEpifJXNagcIL8kLWoKzDLF6+J6NqiaRC31nVch7JLa3CLgU/F
S0QPrLNf8848j/omOgKKj5rUKt7PZO7NkYOq2U0nrx9wpV4LrIaqQCxDiYeqf+ErAUjm7FdywVyl
12g2vU6Ww+45BMc2X2ZYXBc0a8m/fn13ZvwaTwddgSUGFT070pwPE/jRuO0Agc/vB5xJv4GMGYV7
jQ0C3IFzwzc4GTRwDvVr3Zn2I98qoDiRwvFGAwqmieA7HWxh6de6M+3hFGBhYNIPqEQFQCyhK0Bv
yQRrA78VmDjbGwCeagiZBqxkveF3AnSjrzjTWr+rYEJeBy3f1XQokAxLXGXttxWrTMnDhXtOeic7
ge1mgIzGAt82qi7mbapzsyjlOWvcmNURaOw4J5eB7ek/Amrzfw5llJ/yE26Mr4cGNKK+FW0HG+KE
r8Ftl/VREVbAOP/h7fA3hW8gEr3+AdSDVlUi0748ZET1y9g1KwwfeU/G0waXwBdUhD0FQSbbE3Zx
HVC1GQ6jF3h5ANvvNXddfRgKaZPQtNh/bnYSKdCmLQAUSvSwUPP7ASewk5AeOLNcV6Zqiap71dRg
J9jJgqPq9wNObB+h0ShJJaDt0qjp8n1rN5a3HQNK0+8HnPBOYJaje4IfsIZAtnyYT1Dvf/dr2wlt
uSi7ZOboy1H3c7HX9N9jiX077kR2DTzsPHdcldjbXiTp7giZ/a4AftQ4/nT1ogLYYG8giJQLW+ei
CwCLQiHJO79BcaJ6EVLX0bb2ZWV0ejaC1LmCwZbffHF1YhsHXq7HF4VX6B58U+1Gv+sA6car765Q
bG5ZD08KkL+xXXni63Evp9rvFcPVidU73hkTPfTlvBNxF0mdXingm18SC5043bqkgfMKVSUsP0EW
b9N0uhPcwHrUb2CcMGXZPlAYm6oSPkdtAYLWTcci6xeioROieuxrUDGbvsyY2B5mrVjBl3Z9/u+u
X7v4izN66ARptoFQvkXI7/JgE3bN4VxnZxlGsOKDz8LQ//vfP3Pt7P/+Gepqd4DnqOCVomV5aP4N
B/VHxcUnv6ad8QElG0+DKMdCheAA/6VpNus/G538XpKABH2dxhrslXtR9fAjHNMKtztzCtBZbLxC
iv5g+v201gykNfuh0fmqFjjjRwT84273Ww6Ann/dd7BiuY1nXHZE2xJZEITx+AvIbt+uXodFMABe
/0C6wiUF2whZRiKxJ5hYhG8HFE95rZW4gH7duk0anMhh5XOqoxo+VG0YhU+EjLHx6j1zhY2pTao0
ofVQhoYuY45ZBJ/CLgjhq+MzNWEx9foPUEEzT2vWYMGMCdj54bs6qrwmDgudkQeSZElDjb7jyjc+
NRrvS4eBRY1Px0GofN3xHitk0EGqeo64rt6tFlzGXsR+JXZAvb1uXTZ9ZEIyg9CMS/bnUdG4XJo4
9Rp0mjnHuRFXXiGcaRGw4upWNqXPAcx/PAfGySTGwsXe2EZCtgKuWIGK2OkL3Czh9PDfA//jsuIX
C6UrLEsYBZw9MVjNEng0vJmiqDc3TbdO+oKDmCEXsPSS+TTFch8eAotTwcPI20l9IXANAUecHLec
BTYG7b0ywB/YoOveqD7eSaGmyTbFUYvq+DZUtjGXfkTOLUzc7t/hc8vu17Fd7mwj1gutDLzIDkAq
4JuoGna8iAj1Lc/dFSTx0jfpCJMWw+GlHSq9FSKE8vOphYPDccJ/PTePlFTD+v2/B+U3ycPFhkHX
OJFrQTIApFH7tMLP7oE0pPZLsNSVxMGdOh5wO9qVZA//Scj0nEX1W7+eOxsDnDWtCpKtK+kBna0k
7JYM859IF9c596up4iQ+YwJVH/PeldMImAbsYg9Yi2UWqofThhNCfZtkCdwu/P4SJw1GUxYnDF4R
ZTAGyZl18Ng7Rll/8GudvF4RhK0Mzoi0K9eBiVNQHZ+WlvxpnK6D/atxclbhKKwb02kD4yxpmvdQ
VbM3qaj3v/Y2Cv5wB/O7n3BWY7h/85qMU3eed9olJ7FMemryVeOyHZB0VLT94VD9m0/uquYgT6jN
mkjg5Jul6y4m3iOowwJ5btSRwlll9Xx2oq6Irha4O6m0xKD1JIDQLfmEhchzT8WdJToAcAQXAfBC
ivAct9DtstDo3X/PpN98CVdExym0nAdqcK/2g3y5zeQcX4Y0w7t/Uq8y9FIXUH799Z+2bTHaTpqG
B8B0zPwzat3rz9nE/Upbqcvqmm02NY3Vbcl5vFyguU7zSkR+hxXqCunWBleR1ESibFjKLuNqFSwy
Gq9zHOVOIIfJGEnJZXWK1uYurGjOhsRzzJ0wtjSU87Cg6eNg5yqbLqohXudD+uMB86fPaUEqa+as
q05dQ+55HNxPid8tHnXBXJAVXkG4TXUa2226a+d5KYOYvv/vyf6bxOhK6CoYBq2WBpjsUT2fx1Gz
3GaSXfxad6I0zDpdxWHQlLyZx3uoXj9NtfWDw1JXQ1cnvA5WAqcBaYm8mGyBmcwk/aSo1JXRBXbH
u6HSTdm0LTyeRfoQcD2f/cbFybt7G8JpnQ7ZaVGs2S+EbB9G3XV+l4oAxL9eW8SQLZNkfXbq1+kJ
rihlqwe/JO5K6azY91rV2EjJxTR5b/oQFiDxH1be301GJz5XqPMPVPghiOYVJnqZLsYERGG/MXcS
7AFIz7wuY4OqJWWLHv4bsIjQfeYnSAOQ+vWgZ8qi5qKDG3DKBrg3pnBvvB/g8OVXB0ldNZ1J+qrn
E81OsE7Cs+czVAB/GJkfFb2/2N64WjqWHBHgVLUoIxvQ9T5sVIwCoxqwzReQkoaygZs4zfm0KpiW
4nZtK+APGK9AWI6JvUwmC6fzMUY1+UvxmKxlldKGe93AU+bkSZkt9KBpPJ8bvutLDEPRAgdLv3c1
6gpvKNx1DtnBaIhuSkBlsbygpHL/w7j+Zjq7gB+zTcDkcDufLY+OvAs7XcDW7sVrOjPyerrF8FgI
6LTO50MB0bAt9t9QC7/6IXo1v/h5cxIcsKSuJIWHIRTzp2wToggJyrf8uu5GIqTPVbNiMeUj+QY7
z/dKEL+SSjhjvO65UDixDyMz5ybUYb6PBFYQFaQzXj13JaF7MEWAwCzX6yS91LcNDVNzFnM39ye/
H3Bme980S5JGAtYyWiTIlrY1fSFg/UG/+/3Ada7+tE/RS2eOtRrN2QwwjVMp205jxryePWjs5B2c
H2I6UmXO0RVCt8UTsAGMe4n9qSsJHfnK5mpB46sB6VvObMoHSfwEpzR2ZjwTBmgGA9dO0kZwJ+4i
2H728pvfoDsTfuhSuDvTajmvRMDBPYDL27Sz0G+T5SpCawifQxbQ5TxA5pUPna6fJDzGPnr13SXQ
sW0caZTAozDI8ATHuqM+Nzb2GxgXQNfoLRqgCljOIJqSt73au29JeHC/PbmrBj1isU2LwRIJC0xZ
gHMOPBGr/oTguYbkL5KmS/mSUTeRboD9V1LBAfWtMKpRcLkiEraKekQW9Bp/V0wF07GKRS0WtJik
wWklcV30u/ETU1GX9zUKmAgvCVqv6x4mfVBSwZrV/u3XdWcx61p8AegZ9XncR1s0ampPs6r81hpX
TJWNLFxUHOvz2pn1ouAfmYMwfPgtNq6YyiocNw4NE9lFHPISzd2HI2pjz0/qpO5DKLgm4q7nPKYw
qVdyh99io/1k/3jVf73C99zyhacwxAxUoIv2GHu4gFs/chMqoF+3XjEmddQm47lZJlEcsZJFCrS8
X/pzNWAmsrhy1nV6adv+eDnCcf/YwqjUL3u7KrCKwjDWQKx8jnWEepTrGj+S6E93hNcM+ov1gDhn
XTjc4LraZtmFwbg+W4Pvg+xfvAKJXO/yfkraHRzFKhhc8As4X5XM1wMCv0Xs82e/5p04jeRAhyPU
2SUeVQ8Na7sn4iGJZJ/6xaqL+xrn1GDjNMIufo7yNiN3MvRMfq74CyCuaYHpcnZRDFvhqx6i9xMk
Ulf5BQOFphJ8yi7HFX3UbRGDo1i65X6D7oRpG0qxHHZgJ1C4bno9vg0TP5ogJU6MhjFERVQpdkog
f2j74IH1zbNXr/+X5AsYIaFpz04kMSoq2ShRdy02ZT74te+868HwdGqlgbs1G6IdjHM2s7trqd6f
eILXYPxFkLp6riboRpZuVXKBHed8s1Trqp5mHtb1GXWqvLqt1bGJx+Wo/g+H6x+ng1/9qBO+HA5y
/dpOEieFfev3IpKNJOO56xB18iKqvZP5NKgNKaynE3L73lrd89tBjolQFxys207B6btb7a2obFD9
RekG2V0fQtLa5bS1x7blOPCM0wPM2tPxcZ2rLUpu94DxCT7qh6yDJg9p1lAYqS58xKFoSPDp8jib
hvqvUQtlopx1vFG39IBB23CyONDz+mSnddNFZ2m7vwdCblubPO4Uanjy3jb73OdRZoKE5ZkFu727
icYORq+5wp3lonLUFUiDDs586D+MRGHv2PI2/VeNCv+szcTWUwK5L80NRqgr1nUjMGOzZofrUhfS
uf9rwKUtN/mu4am45TGcbMWXvmFd9l3Vxir4e9tj0CoH7au1sPwW6c14KLvnPaBRc7FtzRx1J47C
yep84MmGnAM4is9FlWKmZcWabDZWJ7IecXgfpWuSXZrYHAp1YdNgb4Dx7wuejGvy2IamSU9hQzda
CJ5M2IWlCqaACgDcfJ/qZOqh32wHUZ+WDEcsOPvG614P6NnUa56nJOGoG1mbsmIc20asJYkyd/ha
g2hynWJnl2dRACM7o3rydVpUctrssfPvpjksvYx6iLunQ8Ml8qOYCOdPdKkofTgqkZr6JA/UqLBL
tpkIRIQj4UY+okIjxfcam2ZE5+rwyGpzCUE1xm5MhcPR3diE7tu3KVXNUBewS4Z7PEcFUvYCI/j9
6mncs56f6zS4YiClkf0WoIrlgGgLBB1uVnO2+JbDcEtiXKTBJLvrU1hPJ112STrRF0Oyb0rjAGuD
eb3uLNf5PjRzd9401qinZKhN+7LvpO5TTIeBmAssnee9GGrBCCixwsoT7jhE+iVdaD/cZ/uBSyAR
h2bX+TYuuMzPszTmBDuoZaHwI4YDNW2foy7VyQWAlW6/78kW4VY7XMBWO/DMvKw1ardCCxtqKDkT
QNZCab4RGaBmRq+cje95rKL0JKo5br/hHiS9ug8rNsBevY2H+akzcJt+gTxrUpfWcpQJZUM4xHdH
HMCgOxJbd/zd9BJevyemg4E9TQhace5HYcntqKJ2+iQClYYEy1tXJ3HOFcvGp3CB6fI31lZVavOq
zlRdbtu6xnehbtjwud0SGxdg3oeoRq83GmVAO8eJ/F4tW93V8Pvu0m8xTabxE6rLD1HgdQm5C6US
g32Eqm9O8T8PAfs+tHo9bhWBx+VLd8COtBgFIul7yzDNb+qOHE9LFtaXkExp+ybVsAE9h2kzindT
J/bj7YYaCQIHYAJuQHq6koiT23lb+v7fDi834r5NJmrLYWhlVU4ki/S9mTJOipbBevRLmhCW/R1t
XfWEEvLgDs9Ix3dUhyhYF8NNuAYgKDjtzZFudzB5WI8bwIPoZ5k1LDuNEpWOz9wK2T9FddVEt9vQ
GHsOJtHuN5nVYVLyZO/CT2FSddU7MWX1WIx2CcBEbMNsRh2KSmDktx5w7Xycw2MJb+mYjPIDnDWq
4Y2JMy4uoegGflr2dsXaucWpFhfopyP9OGVr8l2CCdAXFW5ptjdiDzWWEjHs2zmJh0XXpxCvVet9
1wJwfKlqM6JCJeBr/SLSOWNwQh7HJF+qQCffhMjasaj7uVvaPO2jKoQ5EKP77SzVvJwW2DQHp2Xu
SZT38tjGL3TJ0INTHNYRcIY7etEE9azzdg/m/txfkTw5gHZH9zRtKEw7x6PevpLQbgn8z+oeXE5Y
QSSP2C7V/1QIYV60UhBVJGqLh092gj8jAEdKAXmW0+44mtttQZXsi4U/na5yMS18x3p/jNsw5O2C
NL3luPFe5++bWWn8ER4ZGgmhA60meyfRyvVDjovRZ5g44qXz3G9ExTlqP/u4lFmUdXBgr6m0eR0t
6XG/7XBRlvkO66fsJqws9oioZBPidh7sEOSHbprgfRJ3mpwES0xwmsM1yk7cHkf7UYcHbW/W5diy
0qghqE4TnMXtA4W71tswmtvmPW6Rie3yRsolu4AaXy93WYcTzJPFLUR6YV2DfLdUVTxB583E/qDq
sO2K4dDRUrBR8wB1C3qumg3Vc8ccvVvCTqEYo2fL8rbZQ05uBjwZt08DSHfNlK+WweEGXPF82nQW
3UY0m5c38TwF/V+k2VP5kEg6Y471QknxN5XpgZmggGybz0OdNusFf9nenmPVsflD0q2iupvrpqW3
KKJN5KPRBKZYZyxHMjnBy4hW/xxAJYNpPos2vpmHpq6hbUYRE+ZICo7SnWgXO96MraLQDBNoiMPz
PML1MF8X25P3+M304xqJZf8qAY1HTXpGxMCKCfjFugiwPlXFXo37+5YkC71JsxG1LnHfQ6yqVp0G
hR3NwpCrh21HAcnKowIPCql4i+7G8Zt9s3VzE/QE7uB5U3WBeVHqGPo7SHfFgV1Rf+zfkTXmvgMj
NQyj5+tLDQ0LKiZ+PB5hxtSMlfiw1W3a4tMDNJvAEexhw4I8vYH7xazhCSuy5WZfkiy+Zu5dgAlQ
YxjnOV8yRHkIXl19wC18ajZrn2m2yyyH01h6NQVWWN/yjm6tfhMuUTr9deh5ZC0MhNc9vrWMhvsT
w+wXn9t5h0cM/kg6VG86XI1v79IOg3h3kFbvp56aeLlB/g/GGoNL1HreDs63GpunZTjwMXW9Xtat
C9QHHtlFvV0xZuvd1EKB96ZdG9EUrBXD/HkfOYm/KMJtqnIQwsJ+xEhRWf/dg5kavgW1nmV/DSCv
dF8nOXUE5ysAEWmhWtLyG8WX2WL/JsI0GfIpMBapUO5IH9jtARmbBPHKTzMgDYOFbJQH30CVt6wI
kdTb2wNeuy/cYH6fu3CTSdHsB95fFO/Zp5hAF1FQm1ZtgbMo42drB25KInmcrDndQzU9jWISKDmO
gO+8jFkrh0eqxi2QeYIKrL/aYVr2Sxw1bH0T9aEGfxfvrNkLS/tNXFYJp5y3ExH0czrD5eU0swpX
AWkTLMmT7ceKX0LdbuQN3p9o/052fD7uo7afBiyYDLEBWTyEamnZAaKqHysls3EvUsbqtxbKl6DY
k0at7+Zjm1AQjbpXshXAGFZdwbOoGd90M+6YcqFqOZ2pRV2tvKBELTqnFe37kw4rgi/RCBk9MjMK
Ccb3fN38pFD7irrI0jUmJ2WmMDJ5d+z2U5tKUJPyQ6Hw72VEcRv9WM/J8KB7gx1XIeo2KKIWVDhb
YHVfc74ldPlEDLAHN3Wyjcj3fA+xTaco4B2Xq8d9sNw26EL4bIZ+4QWJk+nUWWH6stsR6l/iUG/r
hfBORnAm0UCeRayh6YlKKDHzmUbHJUMy2pZcx1U7PxlIp7K+UIni8qGbK/smtVcD1EMf9H5O0y48
p3Cw2ZFGseU46YNh2d/kGtSw5+7j5cXIKlrf9dpEBa6lJ/LVSlhjF9Um2A22a/HZdqiiGfDqluu9
FTdiGQHWYKirRrKlxXEs2ZgPMENKTosOyU2N/cCnTXF6XwOlpPIka6e5EPAvr8FsHQnMnVmb3KVb
bf9mqP5pHwlCR5VHOx/Z4xQQ/TbcgHjFEYguDzXs1Q/snSKm367BCCX5svMiQRn5I67QUawNd1EK
GjkqeR+tTsmHYQvqc0faBD7Tal/u105mb+oNBP1Th2lcxLvZCiKq5oYxlj2YpLZ3dbTLr7Ze2/cZ
lbpowuRZxlp9iNusz2ADPs6QnRjZdVO+h022zXmN3a69WNi72ZtkJfXHJNrHu6W1aXbCdE4KdZhj
v/S6je8s5Ivswxak/H0tN6gWTmTpeXBTKb5uMv8f6r5sR3Ijy/JXGnpuU3OzDWgV0CR999iXzIwX
IjMj0rhvZkYj+fVzPKumWxkqSV3CvAwkCAhFuNOdi9m9554lw50rIJNfcu+1MNlinihlbImnopkF
qJz+5Ja0uPgBHOplXmGbIkZ/6ZGsOww6QB9ThF2ZKjb55Dj5l/x0yKeddxxzP5PXmszabCfo/L3n
ldUBS+QSTeZko56qF1SuzbChJiDBvi/6IjqX81Q3sVXtVMfO70fxHNq6926G0Ib9BjYNSwtLAs3y
Q0cmWX8iObKEy4QuBS1ST5e5iS0tUIpKY3mRjDVqFBdnIQnDOl7oYouvs6DhcJ7mblq/IJTKoRzK
jaC4u2s8W7SPSwiGyg1cdLJgN4q6KO9mH73/pmujsNkajnUnRUej+GG40O82A2+C8AaimpKewJ8N
/dSXM5UHH7Kp+VsBfUBzY7URvZcsUk35UQ869FgMQxGBidRaBvVyh9aYB+iCQdlcT1rXGutC3nLn
X/UNHsmHCs2q+1TRSh6iDlOJUDeOf/J1WJGXBjMttMlzR5FSCBA6T3B3oFiKMzthddejndOpUaP4
wKDpN8/CYW3/qPUggzKlfCDYr7KWkumBubWcVUyCgIexMdnYJDIL6+Bar2JevkWQ+9evYwE120aU
iPq7X+p8ljAcoN14Kyw+3rxpJ7i77mRBgu6W4SnDiuiF4yCwPOUzB1iYt5Dv78vQy90+rPLKa9Jo
HVECxDVjTMEGvkP/gYqvHJJl6i+1CGJcjLsrzTgqt5OVqsbnWpNu2nYlMfKgtbQUV2yVbkyHoJ6n
l0pSaJFYXkn9Ylw1TNteeQ1JZGX9UzGojCUDZo/mvJRlpHBJeAExoAbKnoz9NKAoHRjsZJ7tCpdc
GAEM2blTwbBz2SzuhzBYDKoDuq79zVLXdTwiTzOGKEzZEPliouy2ixN0SRQiSO1hDTUatFxaHmvj
OtLHxhqn77jveP5tQrSJ2KyV5+Upc5d9NVYaGRP7DGX2uYA1F+660G/CY1Yi0/TUq6X7IAVOQhoa
E/l17BWYMj/rei0JqtTFI7t5xX29Qx3g86PBFlB+di4sdmgBfPmpg8U5zxMqlVfc9xPNc1hC+w0r
bIybjIaJwKq6oJsjEM6tPPeLa1E6b01GPPBPlU+bTZ0VrMWjltlj5wHBuAJeEdJb0c6sOrpplF+A
xHxE6WEChkgVBgp4h4yY4L4NVPYCP4uySFWDRbEox+rKGA+V2QqDEXeouciTfl0QOAIGvbcv+BjW
V4MJdX01ZlafbN935WcO04k3MlRap7MluIzRzJ8rG12GO5XA3j5H7pmhljCpWgfU6uA1mTmuHW+2
ECtLFpe9U6gNQFuYEHYnZuC1WAk18B1TXjsQ+hGRKC5ID4Tf43OFYiwOKBjoB0DpUp/DQQzkNuQg
8YEUxFs1HSamlKlxUeziaSi6s7LYzF4oSr4pBSvu1IBs+I0PocDwbZ6CakpIDuTqBXYHSJAdqdDR
ps2DJcCtWQQPY4F+ZLe0pY6DEgtoH092RIqdCmz+VdBGB8+hs/mULI320e3wqJ7muJxETT4VhZ99
EZfSZC9mqMyfFta/mao2EcpdOfgoZpuosnuJTBCRSDY2bx3FIxsLRHYkiAXxok0tI/Ed/KvCFSdh
ERv4W2YRWhmEqm/ngDv+sVdEQn9cyAzIIJENnJF0DyuOFEVJ446Udd3Xup5DH+tclJftM5zaZJkE
Y+7CfWmi5RWts1pPYx1kb01er5IioHuZgnOTu2h4IpnH6JuPyAz6itYyBzJSKnqW3Vhh7fDyJQmU
P7jbUWa8h9QIs6VIMeXdFoQxoNkoPbwTdTAU3cppZEE6m9ULNxOb9BTXjZ0f4InsRx/6UU53hET6
g8i4/4Rxu1l3XQa9xZ50aIznupmnDYsEDH3Xcuo/4JxXp9avQGtjJdMhPE6i7tDlUg4J7dvGxT3J
qo9Q6s7xQKGT6fvIsdM49+SWMzdfMbnmYttlsBjZ1HSZdwNiJXZ+X3uHCDnGWPPaUD/nUtHlplcd
1MPTBL+fmA42Mw/OwuL1BR4caM704qL8I6DhkMdsWnAeAleWWBZk6IcdKg4O/bHwzFM+MxSJIaAE
pVBllJTAHpavJB1Bg6cbKhRwE4f8c+SU8HEtdkHv9c+wXy+r+0B0EIHPSGC4L/BB4rCY/N4mWLYX
4+IR2Fh401c5j5Kwx8d56rrMddtyyMo8CSLeuy8Xruuha+umOc2crzWOURF9X/mRq29CxR0KtqUI
t0L0pNuDQsndHaDodoNlom23I6WlToN8qn3Q5ZDcuumch0UEPjBHXAvAEVlPux7ttgNpeVoWc69J
Xk5JS61fHwmZmnUH+7H1lVDEJsU1oiFPau1mPD6ZwOmonLepZGSTYTDuGHY+Cs68aE9Ln9N7sJcH
KATg7wicA0YNYcSzj2QFnXwroJBZnoAzzRM2Iu35r0aMKuDIwKlWwAO6tn17aDGhKF7yddBNgisF
wbuoclTmWDHrqUnyIevhXw7zInkFizTBE+lYbw9zFw1ix5GbjezSbGKiiAmF7eHWyfDyEJJyUgrp
igM6Jiw+VVquWrqDgShDxkE3mxqPMeZdbxZ7Z3boR+OpdIKjtgcmZhNE/nMXoUJLJyfHPOHRxKD1
MWypngsGp5fUg9988bEGoBHFTWvz/MmbV6weihDmHxn3G5o0MqiDtAMaNiVdOwHaiqHLm1VaQsfl
3UT9MIo7BIIUU7zABbrf2CWjXbwEa4QKRva++UpGpCrEFFIPeYcsm4nv8qV3/CvDl3IfNApUdqba
r3kS1bwKbmvlPJgm92gK8kI3zf0CAX+1DUrtNUtMIbafAGDm7arQqBtADripZxSFyDXPBoRRS51d
5Z1XrAc/8ub2SvbAaWPWhw5+6X0+vnk0LPLrYM1aUEEyr2r3VkwkuIVEjTM8U2O4Osx/2qXfIr/R
jVuQi/omwVSF2i+tazRBQOJqxIHUgFM+enVzuUIMjU/qj7IvoftDA9ZcW+CHVQJ9hdE2hueQH5w8
FlA0l9SQdl+AZzF9ccEidZoxlpmdw3rt0pH2fbWpw1AMaYBEGlPFw9gs+RbdYC1PWQT7NZAv60s8
GNLSurTMCzkfM+NxkUAnoiRN4cTg4YEqsgbzbIxCO3Vk0xyuqFlMH+0BEnSY1g+o7WLgsH4VQ5u3
lumA26DeRrP1hzde0Kom6B38yISxCmFi8q2vmhp6rgoTMoPNtEGdGCWkHuWOBX2wzIfKF6F4hmd0
Y84Orf3c44sXURmhBpnD7obyop4/EHwbSeLcN2Fntxc3azSkk1in6NpeOuhTRrpqRvEFviwMppZM
qZul8TWaldGGDA94VAGz4glmLRTdqqcb2X4tFnTXoFMtvPHeRjORAcUAp2iYOgO57YS0mm48atlZ
cUOxeCiUiqJcX6sc04iXsnRdtY1U1BKHs9uHLcKS2VjcRSj38SwHkkd026M0Gt7yPqJOxMaXcGt2
PLLi0Qc+VyD+Bfi/+SLHyFbPPbEdue0UBj5306VRhWPBIuog4dMAX2PI5vqxPuQN5l64SaI+3I4c
jQ/bIEfRDieIUhV1yYoZUodOtxh5wVOPMiNOrsck6YzqWrAzyqJIP7R1WY1HrkLXHYhFmPlL6HmZ
l7BLzba1XUNsXPPAkXPnweDpjlhtC6xxsKFPJCrjdrPYRozXhTYQujTU49PjWoNFlghPY8hThHUL
i5lREfNVMN1nj6HTWPxb5BuU03okK/K1UbLC17A+uF6FC+opZFAnPp+N3S9dK8P9CJTd7eqKrd4z
UEVKj0WFSWDSew0IABtIN71RpLg3V2BbF0SNbIcxCGwSsqYkMZ65K9brJcKskcIeY+v5oFYP24L4
mPewFiOeJa4RsSbiZZh7mo45p9HezFau+z6aidfC0i1wVgLTU8hK66z0yzP1R62fqYar+htXkW3O
KGwLvq1pbuWDcxjNpLUSpYI6EeTU26Jta3bKVN1WD07gxJyWQFT66FlE6lxN+KwBIseXld6Wljfq
OJejrJ7Q6BXZlHgW1fKQlp1oAFtH8GgrvMTiYe5JAu8PtvQp5oBcyG0FavDFwph/goOhp/1EShhg
NpsGoyBtDyjARpxYw8t+vMU+3QJ4BhkHozTUbnJ5CHHaIa6SNK/WJ0xPsnk74UneynXlZzTRjJwC
kkkUdsyDe11wGeOJYOeVjPW7quQDPa91B5GrHyyd+eQKK2FaUVlYh2yN6uclj33HKMeMMwDpyhu0
mBIGYEO/NBMs62872C7oYHuxevWBacwU6etiXOVUJrJxrkqXZrwkyhnNrumYRe0hgrjc7Ye2t2Gq
pqVvz4GGTw0gUg/z1m4Zud0WAPH9mGjfJ1vMKE2R1kJJtJ39oHtUSGFThJ9njpj3U7aqcr6HJUNk
gL3n2bi+hi0N1Ze+6rz64IWQOh48oL7DFQTao3msYUmN2qal0Xz2I6KXb8tAy/68LIpoAHxzIJJV
ohyJgS9bzFYKrUH2G0x0Zb1Gu8QsCA49jPgIZWrXIKgScOMZZuZRdGE0TmIrQSa9rickAz95rlL6
ajSr3x45Yu/Wy9XmGbQO0iyIbtc8Kr8A5iNhWlJBeg2zVvQziW5xtzcbVNYVNkgspJc23429u5Fk
nMJkIcQf8bCIYYRcoqeXMyh7wFWoJEYqbzSfagJld8GLV3vZH1+5hVId9gZUHYZOLn7sYb2rH8Jx
DAyePUWbwcS90BD6A2JCUBTPvcJLw4AS0GtCNWTXQc6N22IZhRfiVLfF9GbKuZ/P3cob+mGcLYvQ
vAylPS4LX+cPgjf9dHPxcAz3urFZ3MDsZohRjaoLWN7PE/ZcDDBvxbJIftQ5lAbXGJQ08GBAbbwC
2hoqoFYUwZURNZ8hXB1EDGFR4DYz6yugduOQ34Mm4aMimhDKfF+C2Yh9ERkb8G6Uk8jkM+89CXJv
62GeNe3abBw6ExfQ+0VxJ8AjCBPMvkf7BiBJAbwFYOOZz0Ar1oLEzKB8LWOKVdYAQ6w7qD1imNSj
79zOkIciHKidI5Z/gsJ6sWNsHUJshl0zGVqUiRvgH4461GMz9dMxzEHlSP9djwb2vISKHSZVoUk8
MIJ0TIQZsgRGyeFTiFeT0+Ry1R9kfsF+Fdrvub+smVF20wV63AAtWC14rSQjh3/P7OzNi47qPYy6
5zn1WNnZeF1yeoOBVWtTlkH8/dcYTO/D59gStU3X6nrjyY9l9Mimv8Znfp87R+twwrgG7xsW9wKg
RUH/ooTmfehcB8NDmRWcb7FNegCR5ORdaazW+k80vL9jWIWRwY9EPUBhgQEjDZMJgudvyLvCnBpH
OtgI6rEH4BRMJWIBuByC21kDukWDVRIv6ciM6/THFKoLq+ifsY3eEcsURjRzQUa+7ZBmWqcFdARX
IA8OCeo1jB8xixOHPz7S75Gp3vHMxkHjVgOneAtDgIE/mKXLbNor1Lmpw84Ed1I4ktSoSuel/ZMz
/Dsky/fuRCX4YdhNArplApkcBrYzmwFY8598od9793fssx6JfprnkoI50nypRv/ZiT77a+RT7x09
FGX60PQqo9sFsR9xPi6HwtbhX3zzdwwz4/um7SyjW2DQGwxSizjzgTz+8WX+vbPyjh6azVNhqCzY
VnlEY0+fstjPsfv/tXe/HPVX3Nag6kOwg3BegrWBN6+RSJlcu4c/fvPfuUPfWxOx0W9cP5e4XXIu
g1cNTMklHlsC5AqJoOnj3oKNvYeuhPZ/KZ4vfO8IkwvlOGyE6BZxqPRDNIz6uvQBr/7xF/q+uP6T
p/u9HwwvlxCwkIq2jZA5EGjZLg7DFfzztviGPUeovPF/2shv2a7oy8dyLR593Gl0n+nC5uhVVL5B
OuPrPIWIbo4NR0n290/3Hz/Eqeq//Sd+/tr1aPZVbt79+LfHrsG//3l5zX//zY+v+Nvurbv+3Lzp
93/0w2vwvv84bvrZfP7hhw3qcrPc2bdxuX/Ttjbf3x+Br5e//N/+8t/evr/L49K//fLT59emaFM0
PWPx1fz0j18dXn/5KfAv2pT/+PUB/vHbyzf45af/0vpz89sXvH3W5pefJPvZ88NAAkmNGOPyouB2
b5ffCPkzpxLvzaLIi4Lvv2mReJrjiPxnyTj1JWd4MdpoPNO6s99/Ff3sB5JKwdDO0pD7/k//94Pd
/v0e+fvF+OfRt+z7rvQ/95JAZponcSRfXnpaHOvdA97lKHRyzKP3Wb6C0+PNJPc31s/CElbSFgI0
0a31rQAbOkdXEoo2mdRieJyZEgVqbviEAStayDFdO+NvW+GtFEQiars9LLCzYtctEQFdZJw2ge9H
lxsVczzS8uIYUbAKY2UFoF45FQfWYvZFW30bFW1wB7o4u1bBghFoQNrzHMjioFU2X9kgehBRrxOc
wWXn9f6Ydl1gruC7vUXVnJYRHOsoC4+8aRLYd9sUYo4VVjYT8iEN1nQwxbstX6o1BXAebEIUbUk3
yKtMEf96IlrtQKF7af2iQLdXi7REn56snpbbjoavvQxo4kB8apsK/IK+ADag6RrbOVsOZd+Zu1VK
d6wKL3+VA5uSGunCx9Y3n+EJLvYe98ZtaXtsk2B0XYmCvWUgy1ybYX5dASJtUcPVcVSSazbwuCvX
L3LID0SFkItnH+YhPEHefY54mZrFHpvIR1y01+ZAMcjXqBNum83ha11fwhM6ZD4A9rb10iWBCx+V
zCfQcst1Qys4CjQKVK7BLz+AEDBvDOcfWemdy9FH78bhsQnqb2HnYSPVAKqrJdPJv4xYg8E/Nk23
7JYi2s2EFTEezttq7MG5ANWm2USqCTDwj74sIHukzci8uzVkwc1iEetWAy15wcAD4B64cuprkDGw
y8oZ72BDsmt9F30dR0t2tR3ETdMofgpntnwbpcFwBwSGIUazuZ6qHhO1Ma9uPL8vvkWj68BTxizb
VwTUD40hCi1q89rDDB5evOQepcOxgrtq4isfjOuVjOFNkLlsv9TiFpQ/mTq23ou8uwPetSNYx2/X
pnAHOtUFoCMEusZelQW3cuqGtKDL1xquR1tB6pcmtNOV5uxAgnr1YMWuq3vOMcXk/VCeZg/j0oGJ
LdyT3aa9oHLwQFxOpuI3GIvRe6O09s+cYyCLHqD1h7SF9gAUHqBedgtfOlsAdENSNdLeawQxlBO+
bFr38JaMS2alS5jFsGQTrVnj7aoCfIWEkDK4H4WQdVwiUG9KgVa1VVoDiwEAAR4Rhhge+pyN5mJR
MMTIC5Zwv8t4moGzAUFYCZpEjJiVHFxqNU7qTKKiMXsLkNckeVBpYDYVRggfSFWCmofnWZg1rRBm
Vsew0BZJMIl2ugbyZpY9zOrH5ZQNee22YqY1Opl2HMUDvE9pd6hoTTqAjcUqcdwSBZinAX0mKiAl
4riz7DvagSnpBjP3rknUhBn1Lgd8AgYIHRzbmMArciQDI6L+tQumvEk6H1EwKcivXR63sB568WD3
9KF1eGKkKbPbESP0JQXNDRM/ANx5t88CV3vo6UjTJqycL+OZrkbwI+gzOFmYb8TjFG0sPsZTVXp4
QjAaiBFlCcJz2TYPulTmzWUDJB1F7hwwvrLwq1vWlU25XW3Uik1jJq2u86rF1Y8witipaQ7MJsiq
sUZZItYwBfbQl7vG5tw/sGE09ddhJLbYSg6CbxI0ItNxNPnr51aCEjHMNr+X7erB25/hgLavUuM3
E75oD3fKAyyLRxoPmCQC9T8yUAFeKlZgwCsj89mhZAQZDNFlVxa9QhtDrFcempmtnwUFuQW5oDFy
XR5Lwx/BCfwo2nJOdTssnwR1wxYygfouLKFst4VCcdi25iHivMNoS4tPGK+PSN420frie+urYzYD
pGLbZwysoDhuU6LLCToB0EcY3ndEg+35FEKA2U3N2Yzw2txJkuGMIj0MHFWFLiquBRlulrH2NySf
M7tT4BRhWMGr0W0CwHTuhFX7eQLTGy0e+KoPCMKsw3uQXadsW3MuMF7W7KSDFiSJBeOT+Z7WBdDC
OhqAG3h1lT/U3M9fCauBo7uigbJNjFHxCF9RM72objXjcQU5ft3mU6FZPCjgYkW17Cs3f5nzMhMx
w72MUZBiEuPMft36mS4xWtPTrTFLcRORViVTOM9XIrR3CAFCgkTOyjsBXG6LqX/7RFaPn+FqPH+6
kAzvergJwggKyrJH2HMtdwuIHPXtJLvuSwvKLoJCVnfIpoaT2IEw+ZmBGH1HtBxjHhh5M5sG9Dbj
l+KLCoT9UBcV/EzGlhYMgkkLultmQvFN1Otw7hfrvmX55GxSyI7Xj5oMQPw4AYUwCFmebzgIAvW3
QrBRJSXJvetqmth91/nsA/rccgdQPOBbwOSsPvvtMGNVAPWdtHJ87NTQw+Ia9OC3gIvu28SJ++iG
wPbpEOUyZbQBa8QvDaay4BkON2ibwysFakhzVUO280jKcGjObT+Lag9We8RgYUWmciO9XHzknYKm
otRy3pV91gVH5lfRaweI7I5VgXj0MKw8I2ii8E8I6+RPUDHSl9VeOBkLVtWYN4v6yCbi3QWzj9y0
eqlnYJDhlIqAs32GEd3GV9Q/5SowhynCwD9WkWpTah142hyjhmorxrEZkhUEygDz81U/gaFBrrMW
nNV4VnqwMVP1Ol7B1fECy6imBX0Mqa8LZq7g3VlvXSASqk13BLAGo741DDW9G8up/thohZuuUyqc
Ns00ZWEaYNxbHmWL6dVBZNZkB8BhZNx7kYf9b1CCtXfgIJLlBjFceXBHMNZd4rkrzbQl4DAKEAA5
8Oc+x1dPnasVWG6kcmFcCL9yCCmQVJ2LlrAlmVo33flBVqhj1EMqc8ZMegUoCfhKJL3u7mUHoiqG
6WSx99lQ0P45wzBxbkDCLWsMyAJMODdthUcehG6ZQJw0XVXcFztnBvmYzQ27A0buVNJkWPfZPIAo
HK3hXlIxpz2s+vbYz5obmHU0e8G12E1RnkN0NHV1SkD2O+ssQtRBiwyYUwE61ZD09dA73BDTCJIY
xDnxvMBi0YbeNUbsBewus3sPDzxoMEW2McxD9GndTx+Fj1FMUxbqqdSDSSoMQxD+1zP1GFGVK3Cr
sTuspJsP6yKG/jx2nYA3XwRS557N6PnAYTVg3WBUHpnbIKi9G6E5QnhJHj5FzsyIiSuIyyCNqbAs
N6B4IeilLJsDAbH0aYHpFS4zUFO1kYu1D3NYuv7gL6I65sGqXrHNYbHMRkfnGMBgqPYIbMs2PvqP
z73fyNMSefXtGnW3A/fnHVo+PwbxFaSmdqXnbuwFxhr0NKw03LSBeVSsqPy4aLOTI3T9jA2jfFA8
qF9720+7oRr8AUNRUh18M2Zg/0NQ9goxAUqwjkIuV3tuj5E3Nqh+zjlcroux9DeehpHkEHIPHKQQ
G8HuQu3PrmhuJOLaHBjBbp7XG9DaRzjJLN1XTHm+moFUYWL8opEJTDYopnlhLWEDVjfI+fhVc/aP
HujfWtvcdkVr9C8//Qhl/LbjeYeXhDN8i7oO4HXU1QC7oTkajy1g8sd//TAiCiXDYAf5yvQdQDat
kNOCZuAOsK5xbVwqBWvnZYj+zILggkv92MBdrq8PrM1DR4h+7kcMxZckMELC1HaFg8Xn8rLDM7Oi
I1CYP+bJTKrirZ6AdMSRaQLxJyfzu/z4/eGRP85BnuPobt9/zQL6I9KPoTlEY9Fv80shEIiGbaNL
cTA5Xd+JIRy2VRctn6qlm8HzmD9OnnxcUV1E38sMwPb1pfBooetAwuntzCEqYyHGekcPs+fvPE4k
exJX1DcaxMEq7viaxT048iNEjH+i+v8ROr3cHuiEPY6WHSPFgL23WlrDKOfQb/WHFSMf+EFXhQJf
qytAKrFsktjjVS3CPwEdf3vQ0GMeZOIClSnj7x3GxyxT0QSGIw6q1nPIQ9TS5hMMepFTvQyf//jO
vLT0P14yHMz3JL4g3il67x6kZBiAMtOYg8NwA3r44HWuyLbxZvMn3+q3T1qI25JSiPAAcoTvQwgD
sNlgtFW0QDubwNxEfp9h42x9av8EEfb/yfnD7AJdJMrEwKO/sZusQDugK60PYFGyU25RUmAckqsz
0I/QppieBYhcxhwMQrLc6ZvK2TC6FT5NsBHlr1DRoPrr/QkaoNFm6x6h3qgPx++14h+f/N+cE98P
cGtJADs4LfS9c4gCFdKMnSgOVZ57/NALa27nbkaz9C8fB47XlFJ5QZJCefkcv4JW2ZDrQSmbH1ro
2G068gAeHypDCMv34/y/hvuuiq9jp7tv5j3e9wNE+P8RKAiv9eBXV+SCOv4ACsZF/nn8NSj49xf8
HRQU4ufQw4MBWZiHpRu6k/8GBcOfsZDzgIGUReFEdNGR/w8oSAOPM3kB61gAEdOvQUG8AoRLED0u
mCBGI/8CKAiT8h9WCB4FnhChDziOXjYUj+Kb/vrmGeARq1vZhLs+86PHUkVrape8PYLup9MJ7fFu
GppPedXMMQbl4lMBqO0cRNSi2cB/ol0rfQZeVlR9KPO8uG6nlV35soXIHhOqXMYavFHUByNjH4LV
YRzuwLM4Z1V+wazM0CJPZmE7BQ3oBxmy7tvacfMhBwkPVUaIpYRxMt96QoEaqT2SRAPoPM4TwXEe
QU222g2nSLfdEdAbdg7ZmoMCn3JO/YCEHwhbg+jUG12eylqGGjVv1D4CElu9AxYScvJKHCihUTnB
f4sB/Mtpkz2hesZMlxJ6YrKbXjB6ggC5JCCSJgNfimfwyb2njC5OonhReO+wm6Ffq0sMTlD5B6/y
8vjFUPV3x1GDxEYxE7++aMaQyQKGztlrSrAuxw5Bqk3HUQnlLBzvSA9JZIwqa7mDELbcotlrr1oR
oQfxKptXAC1oY28U4MBvMBcg96D5Z+j5i8yhKISaOc5JNkFVR5bhOp8rCkmiB+X6NuMRYRAYTNWd
XpflwKAE3doFdDlgJujDKldBeW55d0aJRA+l7yu4c0cgKzYcBW9g6YhImfBbbmoOGCWnoO20dTTu
S1Kh2+mkZ0UyGw9XF+SaoIrB9CleIE+soKaDshwxN/1Wc58/0M7j2ykMx9fF1ECTSo3+3qLl+9pX
vvvkm4kdgYyoE2CJ7o6JJXhyUTteQaVQ0iRfPE62tPdKspnt1DZxFZVKJ7xk9GgVENC6muUNlPj9
ZkCAvUpoFzVHwMEc5hgluM1grd+ttAfUWBK38ZmlLw3oqY/wPQes4SE3Y4+kBe+uWAloNhAbQL5d
0llee0zmNz3zIOLnlTBXdBThmQ48OHg+CaDkzjp7sHoNmrh1OKVgLVXN3ieyvCuURbdVyWk+Z04/
NN6avcixrY6kiqJPfGzYCa13vVfBGPwf9s5kuW4kTbqv0i8AGRCYtwDufDkPIrkJE0UR8zwEgKfv
c5WqrMz8u7s6F/+izWpXaSqJ5CUQw+fux/mYasO/7kY+qMB2K68nSMvsLKyYd+MV8bmNB07dc0k0
iFxVgdev5qFn3rQEptMLoF1Td6/VzorHNdvoKtUiu2nfmqaUuBHrMmpx0D23VjeHnV8f9XnUaH+V
dWQv1s2QE+tEydiW/pBw+7C+yiTdlKPot3Xtds4lWHC2dE994I38bmhde1063UPbNZ9+2stQmhgc
fTw0DTP7YbXUTcnAxbUbi8jbJS0onG2dghS5kXbJU89pena2CktNhUex94LUmpdgqPt1NwO9GBiO
j/axg8KgdJOTNclNM/LXoTx7LnMBXsPpiRlXdaXpJIpxRFNOYmGQuhscjlmYGy/tMKuuJSqItdl7
I4GXV8GAX37icY2T73nFmhixmoh5U5MT94/eOifJzhz5cAKXeSWBLE/xTfKXbD2oKYeWvAlq1M7K
HrDfKs/NP5i5jpgSSXKA1rJ5LIZ5h8vW2umTpTMlb0kFd+4aTkrXd2VslSlhVSmfXD7acBywUKkG
KyyWp7KL8gQ6Br6tuN1U2TBuCbusV9hL9Acv69Y3j/CiyTyym05EMuoD1pf8VgpPbsl0pJ9NquSA
7ZPcZkDunX7QhXxPampqDlYBs6Oiwe61sQp93+ZEfaAM5el+kSn3MOK/BJN7V1wxyXcwTfvpnhb1
7sUSjBdltxDUkRhhSqSPDeDZ6UEvjO5FA/6BAsONJyKL6u76kbsWn39/m0HTmPA+WOM7Dds4PYS/
p4DuZOT5ciZWXbx0Iu5PcUwP7pprD9xF80NWefk9brr4xiG6fyO0vNx5VWXettW5SYcDY5HlVh/S
NCLwND2hVE1b/DkV6IHZbQ9r3mjXel/pzcnkabpRuDHP3NJxlecYA48411+l7w+vLn0Hz2061ld8
zPldma/W22BX3NNbTGFN2GLouolhJpxBJzNIFCD0o2wczA2VT37Y2564Ssq1WiMlx3Rj+eOpWFYr
TNYJL7BG6VGnTXi/fW7uD6uC+lus5fog1wFZWpKs/Or5s7lZGuwaZWIhYhXk9pFY1ibsnSz7gMMw
Hoxp5JdUYiB/KEgqbcfL13bT1LwdcKFs45KhpDAa57uhkmXnyJilzyvFEppVUWEONWYSNJYJHcjt
Y1C4VlzsJsV233QtzmPDIX2eq/vE7+04GDRqQjwCoAd/XWIIJkkTplIWXzVaIJ8G/H/nFSk8Dwy3
FcfGku0YVolpHGLd/OgXPY+gt+Tv4OAA3K911jyRoQSrYXH0qCK/7dzz3HjZlfD6hbkUa6udlN9I
HaU8xnl2nVldfGM2PQkWucoYH5wi74yrEG8V2WZT2yxxVd+5lmdwpWnT9bEWHN6YdoFY0fvOecZd
Nj2B6//oxrped6nsydjEhXnj+n38A0tcvK2cZKhwss+kvnrLsqjs8ucNGX3xnHWuenRZar7JmYKs
sMLHA9Il1xEm3MxuntwlK34Qy85DGo9QvJIUyQCT22uSCeHsu6w1bwYGUhvMxds5xkjn1TB218ae
XnwZv+PJ3fNqeaeWRM2mhEcTkKrdV63xoK/8npesVscF5x1z/jbQsdaF3qjWQ5U1iyBPyEuyp0nQ
Ps1V5jxMFYBcrR8F9Cd/OHhJxqHDXvP+nez/NVNNflF4IA4C89muzdhMA1SGLCIeWUSVLdRdLHmm
ST6xtZamD4JIqiekFFB4K3Uf0Cq628K15qecaFUE7sUO8qKiNbIvLGbEtvboze5mthbINrrw7lQP
ZqFT8WUelGZfjQUSytTB8uymqvkg2ZrvVA7EIua4tSdX6L/g7FxupOHUH1Mv5q0ipp0FiuzZA+P4
dg8vn4OJ6PekypJzUo/LFj5C+wajcj3NRu18EoWBbCLtm0Z06anU2O4rdMv3pWJoSDTOE8AMpt5M
gmXS0lOBzxaKUZ/Pn1Lq6rwuWZxGM9Ub14vTsZCouX6HciA2SuvJmhAe2alSpbcOBJwtNBJ/6w5G
vl0zt7kapY+OmVZIjdJCJOjnj9JZ+1s4PNcUqg97gxhwtBhAmbyBUj53cfJzO8A9YAB/5tCZRplf
WTfFJIq9bFjWyUQD2qfdgu7r8zJg4yBt1Rj+jRvH/bashwuLI07d+xrCiBm2jW5sk1Y7sSYSMhNF
ljyWLetqUC9zlYa6GjOOEX67nlzCmFt6P7V7T19M/ZWwnOceJ9nPsFQacHbMFaxPDln1uLPN0nhm
k2p3sxqMH66t4va4As5qg87L/Y9p9Axju3bsRr01qQe/sF3ioON6pffaFbw9+57D5HKk+RZtSO9z
ushSn9McqcjAY+qKCB8bvQxUZ5uPRW7Ee1AoPUdK5oBqyE6m3TjXrAjDxm7j8uzEYiIOFZvpC94t
8yxKDdAh58z1uhvAoiJx4qcuOFk/1AABzryvzB0MjTxk1y7TXa5BgQgW1/GuLM0Y9KBxqlUQBbF0
1O4cV8FsVMXDajgCWCM299cqT8qz2cPNCY1S2NdmzQmFLDc8DQ6rsMqT2KlvczHYTtiXvXQCfObp
GuZtF6+beNVRpXPZJF/1PEGJaJohg0VkacfY5Yhhjf2hzovyGn3TKYC/lFdictw7WrEskwMYVO0w
K6vyg2yV8R43o0fyLHdfx8QYD2i9mP4d5rl1CPggT0JZMQAhZOMBDa8oAo20Gv/cRq7Ke4QKQby6
Q5XdzEz1MF5dECitTSDXLwDHgaOPtMQ3woW+7x2r1jdcYEPgC/IniWclu+JiTp7TYUf/4C0q7mfL
6GQvq1o7zJmkBKvUDnqT7C07vcZV4geT05RRgUj6oKsOGAxYo520KWPIKXkIC4temMsVw3WZ8Fvj
GpI4q2rOhnwnR8euPnU0pSiNtb1wZj3gF5EGXJEvPBdfg8CUfPU7VYR4ZR9hdi6BQbOMxrEj4Dqo
tl023HA7h0ilPIqF+jYqdW1vpvAnuIy8o4ecczsjc0jX+krcGQU7fhtqcYp1rmaMhzEbAkKKgEUs
QV4nw8HNy3VTKmMKkFfWSKalSQpnQjKwRr7PCViu42NJUPBgyXQTMp+/ocRF/ZjsB/wcER6Am3V0
81tlljTlJfp6xbtn7RpT+hFbD7UsaulQRH1hHjNoH/eyQWqwSMaFcQt6q9VHKGpWCqBBayoTTGGf
cyjVlmk3G7ZEKLQNGUKdWMxQ80evDdxi6M7OMmZpOBZ8vl5XuKAiNJQb05r2lubK59EQ4wuduk0W
JknBhSUbnPQ095co4iqm6a7Qs5KcZNz4z4VVzt8GM5anHiu/ve9kE3CgsV8QZsd4MxA5zkKDDMB8
1GkfvXeaeC43jmmSz8CoHLBx6F8hIBUPJNkaLEGd5eC8yIv+6LruwBnUI/hMNqX5iqX+wUT63OmD
9wiJxj6xwCBYpY23nwtILQ1pnNa5WAHAqfp2728aQ59+iIUsP6dT3bsmzo33hhTYwCvXFK+L5zk4
9pc2C+pOTm+8WWmIdIUhoCyTXenMzm6GX7OxUesOgvTmMVvFvB88pgSBR/h6k4quOYHnY8AALEg9
x0SoXmtoVbvUGUbSjm7vPnkcXCyc24BeA5mZ+W8T1n9P3/6FJc/1yccIpI7/3pW3qxmL/+bvu5j4
fv8bv03gXOsLjjtbNwz4U84fbXmu+cWxoZG5hrB0wQAbweXXBM6wv4BKcnzfcNEIqNZgbvbLlmdY
Xzz86AYob8vgn6N47W9M4P48zuaWyjdGOhAxgvZkA2Hnz/M34XKJtwulNqhGECFVsm5lNoCtNZI6
oId4/hedOH9WBP7x9fiCzPsYTf+1ZaaI2dUc5LwNzE3iIlb8Oa3QyzBw/as6BPETEvxP9eHn17I9
Hcct83oG4H9tgcWoLEwzSTBtGHoe0idvc6uKE+PAYbm5ymU8XY3gvHYFDvkobjv/wynq6bav5vxQ
kuotIRnlxhG0WcN2OvZWzgAk7r5aBTljRnmOfQ17wjheKgKxoK22DHvDZTPOZmq7gnItZpcETP1D
o+AucLzceCQMhy5uumlrnAarI3N+4XCEfbrKaGAm94O8er3pPcV10SMF/DnikvyBesr+VaHV1LJY
b7H1c1YbWq5ILNBcTbjC32XOShuQ7uvTviUmSKgq8flWRrI/Xz2skmxjSQuPII0Ll9EEcUYLXpvm
7prVxBBBAFNrQ0xe8Rz0YI3qwHSn7pOAHPm/3jm4Mc8Dl0HAlm51rhbnEWtH3kR5ZsrjGmvrKQXO
eDvPxXlOMBtZUp/COG1etDLhEqGLu8yiYLmy3fMyE1xJYX4FLZfA0CRgdAa2R/fDyG1d4gXi2ugX
tKs5XhWkjN42hjYzrlr6lxT4TlDOFjmvNq0DhrMeuCr3eqiyjGwPg8wkh6vPrXNja/5mktWyy2Nx
Z3T4vYV2D2c0gm/RB8Bvkp2HyhkVpX/gxM71vDH58l2XBboRf1ZZ6gf2mPE/koV9WtX7HqJbOBXo
z3XS65Fj8cWFU+rR5Ol3aiSPNnL+C40q/hYLimMpjI9ACL0rrDmB0ePvJAW6Q967g54feZdPNDcv
+pGVPOCciUOyYB/EKM9GDicGsmEIsBDbKZgQxM8mFL15x4gLbmVpfGROuYVmACZrHHamnn3qwsk3
uexebP5jkt41hMpPRijncoiPMePNMJ8IQ3F9eYg7Z6fZmOyX6ZTIfDeY2pm653TTYHUIvfnCL2pl
28bnzLSUjs9V9jftYF+nWv0CY7YB80TyylTFSffnHw78wSifQWHmcA9BLnmgm2K/Akmm/M1ocvVY
PfJiqc8eOFretViS+NqU8zvwy69zLByo84rposmA25EabTAxjBWXzh/TkkGtMdoTLqzYHGvA7MRc
i/J653TiJdd9fgDcUPTaYaZR6btk6gWLeIALY7ohQf/AasiYlzpf2lFCg/I3TBGRURXyi73DlOKH
slZLoBVFH8iSF5Vj9vo4QBINZO8+Kp2ftHLL8wSJNbD0hks0lcP/lrb+N353Q0eidC+NNf/97hom
36qPNP7WJX/cZP/5N3/tsg67Inq65foY4K3LrvjL/O46X3D4CJ2xhmn75qUB79cma+pfXPZR37eB
klDuetHGfm2y/JHjuQbed6RNAwXV+TubrMEX/4MO7lpE5NHAmVzzXejI4H/ZZUeytyWaCwMy1bVP
ZVu7L/hm4iumA1yPMr+bXwdNf5fcBX94gK/f1AgW15mg7GysXtUbd6q7jcuS9tIZU32cyPhEZMOL
D7uIx6//fhj/xsP4Px71oh9Fkv4XzyF/6ddz6KKq+hc1FSflL1X1txAGzyFHOhqKeayE6QmPh+Af
eqvHw+vydDoGKY0LrOH3B1F4Xy5nQ54eB5mUf1H8nQfxItz++UHERshLgjXBpD2UN+XPx720siED
+zCp0u5ye21VC01vitVLMg3TDZTmx1HrtPvKHMgjsyc3GL2A9diNwV5mq6x4LfNu+kakNT3I3B83
iKl2uK7+iGdrGLYptN672cHRwD+fkLxVzW2MafwHAfB3Hmpg06uvbVom3tz+sY81vpKPzDUAobdG
/9VEL/tWewzBEbVAK8g8v11q+z6vi+lUGCacW9NRz2bm6Bs9w5oTQ8iK/HyoH+raf4FtgtSjOMlW
ectQVdPUTq9wss1CpFHfN1jNl/ZBL83kQknnkNMM/n2Dcykax6F9sEpL2/QxQehY9YCNusHegxBt
d8Cm1FeSjfBOhSw+QRdV58mMk3fPKVv20X54HxHLHrNRlDvYygwULId5iDVx1ouyctYMro3SeMs5
TYSORS27zgz2rIxZwSNaQSmEGAHnN5PxFP27LFlpALdcf625A7C9NcwlPeqgatzh9pU9TLBHFpTA
Z4IB/SlpDfyCprc2E312NY3I/14S/ldLAhrz/7ge7NPy2/fkW/Eft923jx/9n7eo3/7yr3XB/6Lr
UAJ5+4R12aD83/cn+wuGIs/6/ULHn/xjgzK/CNvmVubCZhBM8Lm9/XODMrE64cNwDNv9+Ud/4xaI
i/qvC4MrWHt027osTtxH/7JDCRfZB13JI68uia65/UJu3scM3yDmf7cGs4PYl/jPqiVH7miqBP8i
B4j3mTwIWq8/9G6t9lCaMcrjmhhLv9xZ5ZC9FV1ORnh1GmSSIW+/t2jxDMDha8LUja81JsD3ZAy1
LYTCny73ofvwK7nsYOq69ygHqdowR7G+y6IGg1wRft+SnSDfOl6lmVWcuGYa0aic4dCu8YHBJNWi
4Ba3aePfANNv9w08+hcnbv2P/IJaDBIojbuOO9nWrAzc3EVWzB9xasm3n2y6tc9EZDszVJ++Tvas
ogSQhF7t+rkdo1gUV/6SejdYH9RmEVm9rxPdiNpldALVWsDnUOFvFVz6jZ9hzAbP6Cw7CedkDVaZ
Nk/TWtc/0jYFka1r5rH1xse1133cKb0HG661gMLYZNSEU9NK66X1pY8bEpO7kQn8j2Aps2kHwGAO
GRzmLz3yydH05uFY5eJ7J8vpSuZpeiaQ3W9T1+sfKGBIDqBl3ZC6asg8Mf0L77Qma1+FjJGC0t46
x14v3+EjwBGee1v7nBZnuCoXb3qpMURf8Qvn52TVCeQF8W/r1rWyJXV0roc3AMGm2DD6+uReVkWO
kwBeLlAEjm1+cQQX5nckjJLMVuGB2qBvPeSBt/igtIoVV3BxW5lF0i+gv0wx5/TWKVos2VMdNUzH
r7jC93vM2W2kTJ8fPYaTxXzXDqbJnpoLpD472Zp8BgOiIjs1yke8yUMANAHc4pqYr/PS5PsRGlk4
WW55A5k7c8POQ5V3JqZ/nVAA+2S/Ubkr4KA53aa0kx+IhFJiWW7sa8OYsgMpMZi4Uj83g16eaXrw
PzAWxE/zZCA4MV19XmZRHL1EOo+qqlpqAWe/PYOAGkPVcAHuWxNUjOZrl8YUizIJqxubj97qb3wA
/qExxs2Wm5S4Xs0F5L9yZkw0xYjfQvDUprpfPFEXLdpoxnW71Uo+M8AfeqSB9n2jA6s+aXDQ7scS
e8nKwBKcpN5BSEbJtS4XXmaczeJCPGzY+PLSnoJOw+jSLVmk7DzZzTKtngxv8a8TfrohBO65bnQa
PrioJ1l8PdR6fGuuhhUNCXMV3jKaHnCbdPquNxUDaqkv4bhkRgido/ruIQT6jEi1dq/ZnbXtyCRu
5i6/ZbP73hvz0cthOmu6ioQ+aFto3lclSI09hBG4xrrziLBEAWJFmQFiI6GkxNGiP1wkbn8bBf3R
n/2zpOqPEyLsb4LzOFNhErAswiy9f3SfSZdBTt2zHIAgYh4x2TUj16apqoTHsWrOc1GLUJUkNyFT
FnPBsaFuu+7aWg3mwLGsxtOwToRZymSMqqQqTj6ngjIkIZHD/jSrl7plMN+7KjUZSCdWuRkGmM7B
gOp97/98n/Of77aZYGY/VLwX1Bxc1gUFeHYh/WkCUQJLnf+L2mv3crn501EQK7dvXaysNpMyNp+/
rPgg03DS5LG+M+wYCa0km5KbD5o3vxHtYF4BTDu03bg9u3QzwGXnd7z1prnhaeiaymV4RL/Vxl6T
GkruKgnECBvKWFZMP3JzjB+TEvyv26q9NReH1lzbORRj9+bB9q2Trt0Rvz0CgfPCPE+/t+1chzxb
5e08et2BS1sbkY0hRGf0yVG01AyR6ZnaTd7l5qGaOtMJ9VwfNnyOAvBznkXwGdOd7c/l7egq/428
RPW2TPA3lFNU74Lw5LUNNOO6iGlaSBSTlXqARkl2Rx6c0pS3S5lO9/ynu+1WKFaZYSbHeVJrhFsD
1mrp2Ds1NiAeHYUG6KnlECdYeYCiDHIbDyJ+WPD2T4FasYTxbavQzPJkm1u+sSNIwXSETXZTmIzr
2IOwbAD5754HAaolNv3mOTMzP2rpQvl0dD+OUujhp1FB8gQ6lcHtKmInHHthP2uDLW781dMezF5B
r5Z+zN7i6fWPNqvnZwf71bMNAes2kW136+X2dNTX0tiboJbPstW7vZgoiQCKNUyJF7kkxaGH9vMQ
uKMx3wml1N2syvx6UhU+S8hp6S6xporfCFTgbGm7h1GQn9HFSjyyNsS7hZr0WEOzZJhSPCVw6olY
rBB1CCyv5VupN+pqxU15Xgml73SO3qeK5NC59DD+eU6Rnl17IfHbuR64MgM0WxCXMF31bmrObqPk
Ta+p5s5xlYsobMTL3i6R6WyMJZuuI0bqYyO6HVVSXznYPqOkh8uGYNscZybyd8llFSlayXHFPRC6
w/lY3SyCFB73llYVJTHc5WruHW2XeS5xHraJcGGp6i9rVuywesnLOmbGRnJXrpr26V1WuOmy1kGp
Q+3rRGChXJIMKuzd+nNhHH8ukqwUVjReVs7usobS8sE6U6RiZSFI9CEUl/UW+1P1NF/W4E5Y87FS
NWtuI9rlpbrgnYRaWNGNur2f3LY+UaYyvtnK0aOasGGUa53AJ3nZGLLLHuFedgujMHDQ5Zc9pI3z
VNu7YkV2Gn5uQbrfMJ72NSicUW607uNCr8xNT++JjObLvsbl0BwCrwZVuut1rztqU4Mz8LJPjl22
Rvg82EGrJvbeVZPZbBU800y4RdqcmqKcWEOHst3DQlU7eoPwGXQ/t/RVR3SP4Tkl2D8onjDQ9MG+
9/yK3J+nhuVygNA4SayXIwUyCIcLXGJZWI2uHSWXc4fO8VH6SUufyMVHIwvP20htnE9lYTQRIu18
kDbOzKEqS1xGTcJ0tswO2TgKON9eYkXG5FvUKtUUMPsA0q9s0WcHk5Kfq4w8+dekdqxrcvbefbUY
sgy6Pum3Iun8Hy0o+Nu5UPZ3SgOm27Rf0icNi8iDNNO5p1RmdA+4+jSgn502I/1a6Q03fpB+aZqY
1xQpj/sO/vAVZzosK+rCaSM9KezbkpTusZFNeT2Mk0+XknK7dxTlF91pmshHbE3C3NTtLdhRAyLz
lDy6MT849hJx6LQmViTbnYncvUf4rulJXZm5pd3aa20eXGe2HqDsOrcEx+wQQhfPB1VMj009QmKr
dXCBppZmQ1SmpGqCZPKAsxuQWgt/znrgeNASnEn5ew6W+vvsr+N3s64aPmO8e5iGeNG2CvlDxxYQ
Y9KI8Sx8hVhoQ3zjEw+J3KRHXB75SXWedvTbSe1RluZj5mogSwhzkZVonRinqqa/GrN3uxLdecQ9
ifRfa8WO3Fh6TFajn/nQPOeOhqP8LTMdGREzt83A7MrhPban+K0BirnRoRpvqHeRO/4v7zoZPADK
wt4MZeWcROPz8GsulNO61dM7jToLTIkFzVO1zSmQbhvHuk35MSR569B2UC9q2nTgI/yAbo1MNdQo
D6yJphbhBEbepqNycwmLvNR9bh2npR+vQIHi+TTccaMIwvKX3fUAqz3nB6i8dgPNct503AG46TtH
X7c+cZq9L3NNGnkuCy5Isq4Obmd7vO0YQoIqa+N7PFLLjpWHg7XM9Wdg6nii6vLZsBrxYrXGuJ/G
ovmqoN5+lb3e/cDfjl+V4OKlseYNr+mz6dBlEmSZ7Rxsq74SjrrJ0B859M9jOM6zs8nRikpeK/zP
G32afRNRqHZ0TCRWc/CcgX1X5vaR1gFzvw5NtjE6e3lNNZ5TfbXEaVYadKbEkd8xRFm72AEDHgL5
5Fi/0ihLJA/TxZxYH+OYyJ1vtdrWwSV2TgHcnXCZxctprLT63tEm8Zhwf5nDFCbtjylvOC6a0OrO
sOBZbej0yR6qRqE4AC7nhyrzcutmVrPratPmaAx3izfRdtLI9TuHf3VKvxXpZEHebrqjwDfF+9Pz
s0+FPJBpzmAzqyH0+EEXnFsapAOuIze50yc0J7rrRvlFT04B0JyQJjYALV8Os++LXWrz9We9cF9K
ToIp1pfFv4IduuAVN+utaYzuW9Kmxk5MGPYkxfIjgtvCW9stusM1FHhB0NT9ISv6V1+OV6urf17m
F5vJkMa3YdLcG7+VbI/NY5+7Fq06kHLuRdwt5U6l6fqRmSuvQeI9lyhhoTayt6+iMiKw6gqCcdsH
S2LOOziRWZTOhf48xHOLp3ZhKW67qWNJmqCeW4IgOCw7vKykmbSIbs7hkfHE+ghYuGnCnCLykGzg
GV8RoyZSB8VtUdXiCh8ZVkAZO1emhdw2KgrGI2vovGrnu772gBps3ppGpT6t/F32a1SpZnYuntbE
uSH6a+27NOdYpFVX0F+RWVoHkaagRRkE6Q7KfMsqIrhjzNQ9lfbHgs0h2/rE5bFzLEUVKsauUTPJ
86Cy9ZoD4WkQUCH08cXL3+r1HsUJpvTAFK4S2Wdmx9d5XgJi7hr9zrVl+8rzxeblLMMN1Pb4VMAD
ftGnCVNkCkXTDjX22R1y/fi62r16ckrffAXya38F5d2GoDStQ6/p2ZGdgFbTQmohfkgDemZRbioN
jGOWxYehyzDkQlwFQDAmd2nWOPcLHVRvdtKsIPni8tCtFtyYzLFCtwJYsfe8DuRLM7jzy8iSB5sW
yvQluZrsY8suD8UFa01180pc2J8fxCibna3hPV1wTm4JOGZ7iwwtISJOsvSkLJspNeY9Z0hqOcC4
OBb5fF3e2kXVHKx2nLdxMVrUkRjJU0fty27CZYZXf2zxS3X+Pi4KgFB1CtAxlbAE+B4wvlBouZlw
mb2003Ix8s7QwqFg3ceEsamAqbV1O102XA9ews4w8qdCW5ojydxxh0+NA1mO8WB0M+78lmM9Ek+g
ZnVsahxJBC2Cfimo001r+t2GQlOAevqcNzCvdBZsmDswQkfeLL6VOhz8kr8xDaDHF1mZz0uV9iEp
b/d7E1fmPslZIaRZ9lE/EDkHelHuK4Gxjmq5LjC8PKPEDXtjpFSrwji3o2XM5YlqXHlVGeAX/eTd
ZjCT5fohJhVqJPLUlZJwTI6bmrr7l4G6e7obSXEW9rocmfBVEceHe+7lofALxWdLA3ngaLK8SvDw
haWiHIk5wbpJZzvhmpS63M29vDglnu3yEUgq6LragNozZRwY+uozkfjpHTixB89ctLDVpNFAaSfS
X1E59iGKOr/0V3YXoKWQ9xbFJyR5nOKWu8pwsiifPGB0Y7JkO735nGnWFA6o9a8lhthQNEV9IuhB
R4rbZPuGuNNeN9NiZ01de67Mqt/3qQobyJ36nLlFICx/3a5uRlPrYJhPA9e120HDfFlNLujIktlH
4uuBoWOpHrL8VAv7OPf7xePzHCv/tcfHndGpeS+qyd9lys2eScpbhzYvirNLp+DIGNI+SJXdxoz/
/xXCUPxXV2Hbwj5uuLovdP8i3/0hwaiySkiJPWenLUu/wRjrfKc4C95Qa1eeH/gd91+zmGNi7BXu
2S7HcRclSaPdFSpf3h13bToCCXD9F5hHQGcu80pmOuCnRrJJ9JMlq0Vk6eeEUyf0UwfezIBwqR3v
mJIRaoKeG6IW/n+Z2v8fikIaJtWrf5jx/D9ZyP23bvlWffuTQvfb3/ldnqNcUddd18ZexdSdR+GX
PGd9QZFxmIPwJX6qcP8cw+tfPHKQFHxgB8SmdZGQf43hwach4yAh043Njsif/I0pvO1e5k1/nEeR
2KVgwbf5KrrHuesvacjcEBCP6KbbZZPm3ZAdV+6WiEe5rdYse4kx+71SJ1IcKgrpaJlsJQmG2TI3
et5Oe/KI/iFruuHBt/g3oons3DNUcvNFqMq9XlfdekqZ2l4poZuHpTSz9zrVzGua0Ge6Brp475Q2
pgsPEMwStsZgfeTzKsaA13O4xrQlHoGBYVtMQRd9LktDTocl5VEUhoo8wu7HSxbjljEnahqZN8aE
TnmIGy8OHM5uzyCb+mMHf+IZw252BYxim5LMCzzNp3EB2P0GrIvH4XTAW+NySLdzTzBDId9x6c0M
7diG01vR5nrtk3japX3KbkGrcWS2Y77hSF0+pEPnBtOcDdcj8ffIl/DEEvqZltTRz4Qtmss0WTty
ArK2Nsm7a4tRyHYCiv0wDfpwVQ/4pzPXqa5bYfWAJ3pj4/btdF9UmHGngVWM6BJVa6N9LceuAJ02
w6+YR/+V9leqxbRqwmQtrI0m2vymKMxub19s3AM1VFTbDus3v7QKqjCyZlsT/qedoiNytrpM0FEb
jx1q8JPMm0/wBrDGq4FbAoCTXL3qbKrPw0WrXbDNPHJMlD+MlX0tsH7qfljK0AAXXbjpAchPyfTf
TPTX8qeUaP2UFb3Vnd+Y3yhrm0srva08DkypV84nH9LRpkMBWjDSr14aATH3IxhIlPTxjNDvolkF
qE9AlhUj7bH8NC5iqJwMAbekNjDl9nV1Ni/66X+ydx7LtSNnun2VHt3RRQWQ8NGz7Q3tpjvkBMFj
CJcAEt48/V25qySVFGrF1aAnHT2SIqQ6xUNuApn//31rRZNbP8mZn4tTFybZNv9rnrLycUl4PRmT
Z9/mMo43hVF2b1OGYq0Nwv7NH7L0lf4B8ovauAgvU+dsGMWXMaWoBswMJ0rWa2t1Fs/MqET2M0mC
D5cr261qloYfus9bGgAlu6BSH0GyCucs0CHCy76v3NuBqNwlqQJrky7tfJoIw90X6O4qIwegUzJx
Gf14uBlqUX42MG0Ps3DGA+qE5KZhgXB0M7kV8RQdyCMx9+bA7T0iYarux27EqwYw+US40H1P7MYL
tvkyGN+4AqevsZL5sczH8aOgqv85RvBYEq5ymwrV3Xm063aDn22Te+5jOln1BSwxBq1eDp+AiOpX
d7IZC1W9/a7Yzhw5AgDBn22MMxzCIBc5BTXaDf9XdRe3JAwoWznx2U4IPS1+o+7dKaUREij1FhEB
bTENmv1B1CDP1mah8l0W4XMbzDmjE+ZYl9iAbQ3grgBaZ7ukkEGW8fUCIherQVjjq1ek/oly07yh
+lLdgr+mkdtl4h6ZbouBq7e2XQK+quXVD5+K2hKZLqW82zyJ02EbSRodgMisXwFn7V9kNOtbXstT
sxmLerHWrhjkFneLgk7XtrREmXONLwykSs6NXmBK7WbJ/Q1AcYQCM2dvTG1I1Gpbh92547m3ouTa
XUnb3PWQ4ErAXZ3pbpRTIiUg84USjmhjynnFCO66wKqXVcOj+N13BCHJaPJmqhYQ59m0kWuMNgMD
HyoMqRfw24m2/aZLp+ob7A7m/LR3+sfJGMqfLd25iSpELD6cxp3cVana5H2qAttZ8UA0iBCWmU85
WorefweszcUlMezgxTLpd8C/GTFfMaM74dyw2SQa1Xw0RtMt9xwnbYtLeGp8j6uJYGZHf/hbT1E8
2IYyaB5MXdCwq1k/tMcI2V1K1xGUX1dOu14Mc78nHaW7DCI03j1WSoJqwcQgg8o6fDAyywVby1So
Zm2bRn03Ss5i22nq7GkbC2te1gxfswarVIA7YBRu9ZR6A/H2MVjomZCWb7+z/Q3J9vUs/84pOKju
SSWmccYIhDoLjSThpT6hI5zVxfxkxjmxf9hW/Tt7F/Ij4A9Lalf96KRbHAfMupC9a/+Gy7k6klZG
ldZ2BwpGxHGpwHlHC99IC1kqnb4aZkhvfYOOvGL4Jbnl0Rda5VMtL3ggord+DNtbvFRf9Ww0n24a
XpxpMqvV4sYOtQ1ZeTs4++Gpd/vpg40nVXunH7wPpzeRWccUHI8mYy1uUL4EFGAN/iXKgyV4iPPI
oMjnFIiqcr8ZwfCH/AUaP+n2GBxR1Hr+7I10TorshYr5dEZ1Gb8yFYRr1Eun3VAdMMHqes34ywp4
q9jhOHUYtRNzS2zZvTXYp/srQCOMxruid4+GATeOorEXfGMf4D3PncdQrfARZReQeEmGJg68TLq9
wz6CP/nS0wO5ZdcH+AYbAW6xEgzeN9cf+Jp9yCwnz8HSAZcxjQjI0sI8MXit36gRF84xBQOs1hFO
CAysDHzadWO2NFhKfnCGLTm8G2bLF8jgTf6sjQE56YRa9q40Bn5jusiSb1kp+zPPUOvTtLr5jZtE
cGTDMVNY95eMZ29pO4RJZUskuZr6dxKiy2M70E1ZoeEb94BpjfcakdZZzDAPirLjpYcld8/EPHyN
l8l4MVUoHx0b8NlmRAexSTq7uMUrEjWrCoDVLx663T2mLSo09MG612Fw5m6zoKD8MPIK4j3YDIZT
trKf3BTg9IqnovG9BBi1cF01G/a4YWk4axEFHBVol8vPlNu62hvDkJGK6OYwX2VpxUqLVbnJ9a+h
B1aaaD8SJyjerDGC4d/Mo39hw5PEO3+kPdYMGTz9Lq/yhzCxgDt2kSdaRGTueI66gsV/Rjx17BLm
iC2ejU0DTYxbvvzOz4rqyTIF6nVsGWgwuElpuFrLJW8SNIG5XRXNis43vyA504JHA/sRE6PaMF9V
xmpuDSXSvxmSxUP1G/l+fOiYwPY3PgCAeZujF+02UeJ29yZsBj6eXDjTtciT6FvkscorQsbPDEX4
rkJAVa99O3mP3ZiGoEJTfu4Zd/cHaFqolCcdOzcDp71gflCXETsCf2fTFDuQ2Yx5EBMVxzSZvZuM
Fka9dnjD8clwZx8OW2/trMrqSXMPebrNFhPjFAQdHSprMubqLsaOOCjF52L51atRh+hsLCrbd14z
8R1htF/D5Jn4DjHQSw/WFAefeUoYgUQqX1YcZt1rSPyK728yJxvf8eMfVHXkwZN9+JqaKbutpTZ4
+HXiLqcncCtnN5o2hisX7qior3nTqpwCD8P0VZGZs7+vIAPeROEUnCciM+GaxnvHwC1N2o8R7g9j
Y9BxX1KFxa+Iac7JjYz4O4XsGetju4Q3lILvksA2j/Miec3/t1wH/8fxczRsmvA7N3t6NKag8/Ev
Gds3nz8/878Lcv3TP+D3+2Rg/mYLQsIe+kcNoNLwoz/uk+I316ZaQ0TL4b/oSOdfUl3+b9w/A/cv
/Z0/XSdtQXrU11kwQqRQe6CB/xv3yeBKEPvbfdLgycXHlnWHBtX/aaCBv6zKrbxLDv+Fu9IG5gr0
owz2vd3gGOoYM1UiAJTzz02WxGv6uzYMZp4gNGMY7ZGO2DV5QdU3HWs928raRz8nKw8MBXEg7ZGr
5FLFsYEvhjH2tmXKiOkxI+z5fWDapY4DWuVbFtr2SU7W+Dlwdvmuktxtt42TqX1VQLTkNZ2G8VoO
rWceWM14H82ck++0q3Ail2XyNOFYIIeaYD9uErh3oBY2vbKy+pRpgSbASDdeZ0tTP7t+Xzz1AXAe
L+8Hetlz472LOSd0MFlM0aarX5MFp5Q7+noJCAqXG1SdzTmyG9toUlSwnX+h2ky3283s4UfmGtMp
5GV5Ir4TX0D2YIrQIk7hZv2bGTXs9oykuJCtoHLROeHBkUQIBgQ5bC09P7oZXA8cL3jhrR17E32R
0Qh2Q09rfXWVduojQXIg5JmEW1zIA5sDvKJnZXj2l75LPJl1vPxKx6IgnBWr+n0RuXMf6hwOEVda
tfCds/iFlRj3jr4vuodEheYdVI9pXIUTmE3UyfPAiSWl+pPFw4gq3jNe6zCFaeKNvvkS9BYVmNCr
5xwPjDQfmOKK75k1osVbgnptiS4nN2ZC3GDDRmawQmbpbwsVhaCJ8u4mKwl88IptyoOfkTc7Otz2
G9ypZfcBfRpUr0sn+VdcRNMzsS/9SGZOye2h02LRiOMtRWGvXcfQVekrhw4qrJpH7T0KNbTp3cyU
eO2Gg0MoyZBVessIf+KZPENJxiNWGoCEuCj/KikrOZtE1jS1FN3TZUtyEUfc7xLSzm3Ux+LI5Jsp
FN2ignP0fcFZflhRQp6JUJEUGA8u14tuzTeWjVlKS53v39Dzddr8iyYN7E4urpXUDd99Lwaoakdf
XPapozfaV5pHXncIsrq3fig0fwWKDs8a9nYRLXykJreDF99we3sYpLBu+jBhrxJJGRyTcWx/9Bzf
t0aj+nJjQg3+QRykNW4o+Ff5duj78MOpliV76JLBQw04RRSdx7l4qbvY+Tm7S/o+cWgNuO+wAqOF
jPnUYvW/y0xQQGtcDuMRnjOvKZbJvsmcR/tQRVnLYG1WeYdMjyglyUtzRi0CmPTX735Ucl7WNvDh
lHML7/xHs49axLZ/1aUauBO/h43bvnGmMe+caVl2LnbrCoDF5AUr9VeR6ti47qpxR0IOC0RQulam
R3GcNckqHSKQtCLk1X61qwpVSr4XhZaJ/Qu7asmiCy1wZC+E2LVile4hqO7EHcgPMujZem01/Aip
6tVAgXs/RLe1dJCA5Xzx/mvdqq8ADHOm6q13xD7LT+pCsbcVAG9uzaIzbnvmV7cwTfIEo6bjX5AW
pk/DVcYqB886mjDgDw75nwtqxuG+pQPVrRjTkXgjB/utQpawHbhs7sggRs8drfp0rc1iuywf4fi6
oUq3Rgfoer04QfZRpmN1n0mErKD4Qgol03TstZoMyBaI9DkhpbP/s+21z1VirxxaZe+qUvk7ZRQx
stT9Z/JXc46te7sYMTPKrp5PhjuNrMlZnTI8QVtNKd2Afc/VYCSaIbPqu3Rt77lzej6EtMdDQUaz
zj5gKatvYNQp6dd1Q2pM9E7n7hwYacm6yjONRvrnCtkOYsSDphPUG9soTXFOEFaPm4Fv/7LFjMhd
1lPzMB0EJjHn2IAgtu9VrZrb+HqxGZGV5BvOt5Ctal9C0I6Tr8RoCJi2ZvrMuZf9bcisjhCcRLXw
u4JWxhWZ29li7xkjkTg4pdnHwA3q6eQM9QRaYo7kqR8Hb1kD7y9INAPIuGNUNbQbK25BfQfR9DAq
wm8bYzby/VAkJoRb9EWDzwWQuZ7lThBs7ezGbiyWjKLq7IOpmPgM033TT7hIE1iHihDKsFCJU4hQ
C1hhK5Okcb6uvSL7fvXdmtI+j1PKaiSTPf9UxVf4qCqfRoUMxlNncOJYY9NwOT7nJlukfxThcs1l
Re907YHQ+b6DEA4R35LvDBjCc+fhzMnyGqdXUobylNijFfPr0tQ5lpNIg6kW5oL8DYx9Y12YxD4K
qwpXgVbnSt4GvKjT7vkf9LlO2XYX2BEDO2GZ7kFb2Scgt59cpSEg9KE8LCPgYdG17Ys9ufaBJBsA
qUS705nbOL9QY+M+pBkSPvSQa3e5HAFRLH6gThZ3qC1OxP4QhdZSM29NG0ZMaTZBEKq7mzKuTHRt
UX4rXR7k22wsmS1zR6jmNXQfCBedZwEtTwbD2rfZzHBjSetck1qriyB2zgiZFGAQQAsB5OCc+0ST
D1LVt99CPmebls3RD2+ORLnySqe+dwpJoKgw/UPWdaW1dhThYjEZsPr4wGyi1iof64ybZC2X1NkW
mDsPptupF7M0U3KH/PgrJlzfiiT3C4Yw+QJMEGn1yiLDelfmIQQm/EkowTUNwms69dFB1l4vHQ2f
WrTtj4lIzwP5jQnvejYHazKT8V3rtv7WrvxkP7pmihVOKpJfiyv8j4IrD6CUXk4vnsMqceWS4f4V
oUe/LyLDvsECQEqOtBcEPgD5FoMpLC7v3K596mp18GQ4Nkmw2ozid5+8ALmgdJg+DC8xPnKk6xr5
kE2vKsy8fRIoEg5UoE7hNOZffL3Ngx+383eyRoRtFjW3HM/ShmTM0BBJwD1E7SZrR2AaNuMFsfLc
eQZg0gToVtzxdXE8b+fXZfHJYoejhgIIz0y4jdC6MmcvAc3XdrznRzXe/C5B9tOoeUzJldYcXzwy
O3/2Ias+aYgwZahX93+2IkPQ8uBqWYl11yrlvOk6PVft1sznXToUgwUWJGDpCcAhOKeg1RFG/Mmd
HCwmNsBe1ED8o3ls3kdu4tmmYQBUrdNFRrcp8E7YeLTCj3xCQpQeIu0+Y9L7YjW6gXXJiQSyoQl6
h7xRkTHaJT/06jhJfVG1pMTVcB+6ZLS4NgPklLUB9/Ockm67t6be/JVadQCS3G1LseW9S26O+KAc
VzmpA+KsaHMh+nEkAJXTJoCTUgAYG8vgCvMQuAW6g3HAhepLUVXwaRwVEPwvA2bbvCqGW5GidCVx
UZAGmCD97z2rCy5SCqa7C7m4BXQj1J+sMHALl6FhvRAXnz/TwDB/BoHs+0M1LiR08qbpeg6rGem0
uofWTGcjU1vZdsk6cWT8RX8svXSABNYzbuh0xxmTEBOK4O3iV81jH5SYNv2GRxQcQ5BjnNoyVkeW
2IZJgGLD7POA8FobfYaoAi4mAaRky6k3NNYNCxS5nZTHyh47q/El+2LhjNY3QMr4i68WtLuQ7kv2
J6z1mpXDe5ku/8QgHBFy9clgmtggXmA2PIOH2V2J6QFVqJpJUFYjilTVRMx/GqrjUVEnD5HMnaOd
B/F9bhaMctjT++RMB6En1faIEg2xn4IcD60QwlZjq1c1EpTa1CHVtIpw6aWx2b9w1Mm9jQSSBrve
WDZ+P/FDJoZ/6Oym23qRjSghMjkBrua4MTdx2XXbfjH5LCpa9ysXWMpnIo3mrNeAHPCtZSE3YoVf
MyZzOi1G4U+3VpYaz4Mx8KcECWSd2IdXxqsdmNGe5Ut0qvhM/5g1lpGzihWTd9GBNluk4Rn9d3lU
gPgUXQmybyYwsfVQ+9nO1wG5uIGH5F1Tc8zOl6OTJRkjR6b7YWUA2ddBO75o5+To8B3nAAxCeVju
8ms2z+0kCMURkNsqRH6whrQKaSvL+0vl9IBSi2vmL7rG/3QQ0DcXubWUTge64I7Ppo4McoKLtoIU
IefUcI/8m9Sgjhg6YRh/CB07nK8JRCO1ok2sY4lxW/mP8TWryO0gO406wLgYCKJmHWqcJoLmCcQ2
y5TJo6ujj4MARbaKPJdKhI5GOkrGZ0/HJXMdnAxQ1ABXZ5e0r3JTvNXNQjiRDKKnT+iFvUtMkxQm
BQCdyARt9iPUMU1XBzZTjqUI6nWKE+wtgc5BO2SboeDsek18xqgOjtU1B2rqSGhFpH3HEc57YJ/l
PDm/50dbfNM6UzpC/pxXsU6a1tfQKU9ecfR0EhWTffLMr170nnhiSdaoIhRL4Tjl6XKNtMrSLO5w
nycnGxHJw3ANv9ZBQBDW9kxSuDodm+icLOFomvYRRIf7RtbxvHHNwtgkOl0LtnDGaq4zt/iy0pde
53BDmgg/+N21HqxrSlfndZswI7rriTkxoLk71pvQ+V5p5dnRrb3slogAXEJTJ4GLjucVeudrPJik
MNhCvUgiPRwFNYRXnSgWylMIi5zpbOi8ca713yum//geurgCXyDt/q3hVZfwb6vljpQBf6bZyacI
rddzl/SGhq4pAU41Gb0djle1TmyB+6MyWFPqk4u7drDPP1uFle08Z8geKkd8+VwGeSvXedtupt7o
bmakM6/69bkd8jwoL3Jy2MnxUia9t9TAtfqh6n7mkCfX/5fLuVREoOTBnl1ONP/c1SrDzGz/N3ni
Ac8WdAmvM1dQ4n/4//6OxH0CxJ1rXMHf5U/+9k/+MTP0fwtdZnwEH/8BVRBckdzEEPQk8c+kAuH+
JgI/4B8gheT4nvu3IqiwfgvJiAMx8IHduNzI/52RIaOcf4igeKEdMNKEm8PXyOxJ/+9/Gh2arNqh
Ds7LvrCcpVnLHqXNiuoo1aeWFRmtDzfy3uD9mnLTNh4ZVc5WvJPiuYktKtYCn3ek6uFpNMfQXvku
Vzwye8VtMPXdDkpodwG3QY7OqshEusUSrtQs00PSV+WZL6gA/FyNhzHsvfF2doNxuvGIqJ8Vw5/0
3u177rchVSoU3ZQQknMDKFxsETTIi1N27rxaiplxuuvTN9lOtVlySfUT0rFVxpaRWZdLO5HlSnDA
heMOVFaj7DL0bn1gP+jnG2sqv7llNYXrPrL6n/zl+PWkCsgsLLb7Z1g4oEOEgb1sNRZWxLlZ+SRu
R2+syHbzOHYdbHO7xq5xVKXL6FSblmbdXdpZ7Po4BjvFJvbVYp5EDsxlRZCvY39EGY6rgSY0HZyF
cw5pEAcMX+hR4VgTyzc+KnCP4Yrpb3pTRVX2WQPqvmmpt5kr7DA+8DTBK2wTyBnfb2H7jbfh3MR6
rgIGAyqt6t+lyEe2kn1X/RKLAU/b8Q2DRbFSN9GSzrdIsVjEYWFtWVC2IVs6V005JEMxPhiLAWSI
K/IPu0gID1Bk50RDlsT41tbObGyimlHK3qlb78EQbqQ2AtZrSbtjWDhmcCB8rmw5zCtGtl2zdmgE
V2uYONaXp6itrDEiyvfF7+xo17PMIZusF4Rc2zDUJappSGX6hCoI1Brh2Urpo1iqHDZc3esHNRvq
IRma5kCNo74kWWDe1eRGjFW2ZAUOO8QR29wt1KfZdtMd91+2YHM9i3WFcO1kNJ3Yeg7gIOah5ELT
gFrpAsFz34F7R8Vozbskzqc3f46Y78RleOBc0L5OqkrfnDBj0WYvwUhwKghIgHfLk1VN00MZE7dw
ugmyECWQ+4xs6VbmxCEcRQeEjRj0dv6svS8pj0TWSMO47YINCjfOYi1f0rjAAUXRt9waPSNvtpnR
icV3dRBFEu5K2yv3rpkUrw0FgDVJgxfPdooVeAkQTqHCx3YeWHUxui5S1E9gbC/h4Nos3Pibjr0Z
bNIgbc91xNkv6tL5hXysIkjbTye7A9eT+MuwrsExzZjraDlZzFCHFXHS+IE65fJoiyFAEZ5N93zW
7b2Cgqg2SQVDMaAS90gQWcArdq2nJR6XVwM940H61J12Y1YTcLUnVb4SsxZv6CPVa1510K6SJnv1
LfdItLU/ODl/dmZGZE3bvPMeZlHU77Uo2seSqMrnGEb0g2rhh08i7U1IwJCOAVf2Lts/nikg41m4
bkd7XijYeeJzXFjWkiRtnRch4Ds7g8zZqw7F9wm23j3gFe8jS4x2mxRuxPTGawdmGT7mRpVax7So
5E+/jUJ8kkQ1FLRid77P/HJhdmRm6ouGsvWqPwjP9uIvXySAR45Aoylfltr0H+dievAJ3A2rKWFH
vCahOPL3NCBS0YK03m1wEsa+d6aS8oKUEfwmH7E9z4hLNKXxL27+9Ha9YZrfOORScG55NB9stGMx
7sXI/sqbasn4ydu1HvII77kPSwu+dw8YdJFufGmKuPz0Goff/qEvUd4TJXwwyXKItULwRa4gmG5c
ETPoZW627CbgGBtwJZr+GE1bEVAnXjw+A00z1zvKAiaE9MhBVWeSzNs0klH2prSITsk5YKGBk63H
fGJzn6xyfkmUB9ViHXSivVCjh0FSES5aDRTmnzLWAlsPE8/RzELvTE0lusTScd4jDaovNbLeGNsn
UxXTDZmb0V4pIkuP4ZVyX2ng/XBl30OO6o+gqCDiWwb0X8ua7RtPA/MlOOuUBTEY/VwD9XGrmrD1
F83ZBz27PFIkiccD12v6XGYqn5Mhdj+ExvQPQ+yfrSAxH20N8U+d0LuRgn57mvcFV+qeTFGuwf9F
Oc+HoZrcE65K9l6MbbhRM3FGftMRN4fPnmItI9MU1rf8KogXT2sG6LzHZ9GhHpjDqPic2jr8NDhR
7mucc/TEbLv5aXWdv5uqVDwPVkobVWsNAiLTN3HTqB9xFI+focoQIMS229GpvYoRqCY3B6Zg6BLS
qzrBKr+iFoXcSp82Dpwn7d1Q28a8ES5Xty6aqptspJJZaSvDcBU0+NrV0GlrQ6L9DcZV5dBctQ7p
lPO+DVRY34WsJ5hd/S6BGIfxk3wIaoikIHyeaF+EfVVHWFeNRBVopQSxlfI20p6JUhsnGsJcvNmb
tnksK62kaLWdwrqKKnLtrCgHdB98/jFZtC1OC1/bLRKaN+R17Ez8JKZCGcAQ/WgiArDTc3gVZAgx
mC+eL9NX3tnwxXBHkfDxQ7waJeu6M7sVtYffGL6ErGIotzRXE3GGliMXvXHGboGsIx3a8tkuaw7j
dYfNg2CA6ZyTcrbfKmWyt5vc5pi23NpWzFIANLVjfe7oK1zQsoqTEyb5jkoWLX9tElmqZXxYyra/
x3IaE6Pxu+4NTHL1Rf5keQNc6+0ZtZfHlhP8JgOedgmj2qGJbUOiZR7gvXVXrUnHgBRKHUWQ6Jg1
yrtNtQOFK3/+VmkvCgc2FCkwG6jx1m0ob5C9Be/YibCppN43k2XkHig0a0cDcHWq7SshRa9n0kr5
kfQuKNHwihUt/dZ/ycgfl1uluaOJJpCWsTm+iiuWNBMQSgmyhNuko5O3yjXBVEwyOXmaajprvqno
am+Pp2yX9jbTQCODD4vsaviYWbZmgP4cby2hLr8Hc6PhqT0c1UYTVe3f4aoWnNXIhbjak39pOBht
TU1jtez2swR3cKCCmK96zWxlyvTsaIrrGA5Plua6No5s9oPTgHvwh4AnVja4Jk7hFqA19lX5lPIx
eas1LTaNhuWQjsZQbC1NkxVXsGx/hcwi6+ribWkL51vYdvN3BbYlXc081UnDyZCnelZEbX9YmHsl
CE846JjwFoFFKyrauERdQms9UNgUhizfxHAYIMHz+txHmbDWS9LnD9lccr8PqznaVLNhYHZNn6UZ
+3CUnOg5xRhjrCubXicjv55IUDUhKAP4/Eu5hfncAWQ8ZHLm1VvFzS42E2dN6c1+HhGA8i3fUS8C
Gd+6t21hmjeFOTrbsWhowYUsI/0yKY6FBabCn6f4oQ06BYXRuvOL1LrDJMgwrzHHR+yz6U2+SGuX
G6mRrCl9EJYaI5G4a78e/c2AGpPcX5jdWdPU3MR1MeZbar9ucWCy3d02C4fFVcN15pVFnB6idVWC
a3JGA3muOSC+9jEp2o09OTGykBJ3xTK7F+WPgoFvzylxZ9WlZONtgKNeuSLk00kE8W6c5+Qh9jvD
47dinmkJztNyCpqh/taS4XgJpDfTzvIhCOOP8F5br3IfedhZzgpwefLOL7C5s2f4HevCsAveprJ8
8pcpvlVkQrEuwlzBAKIC+oNG8hV6Q0HbfKT1usk5bx5LZuTAT5YyJMvld615AM8vdnZrUyKk2GmX
u3SCyL7pyTaayHpEjcnTxL9A/ya2107f+umWFjwCa5pgxqdhOO1TCSefQj1n9o2Cy33P3LF/r3wP
rSZ9q/KWTMO6phjbrdsM6jiZxEH7ID35DmieGxqRiKy4b0sUBqu+rqW7cRNkM1TAIwJN5OkQRWL2
Rs0+KcvhpMlHmWy3CN8i9lTRavCjkEmIz0cV3GTdEuOWICk2qpxpY3uL9da2hhPvO88Mzszmx2md
iTh9qYygmB+LqpnpiWWV89U2DoYHVRfNvIvMDhCp6QfEzWTMh+O+s3UwUMqKPB7c44WXngxH3lXz
hd+ZcQUXnjYo2G3OGjz9z6y5D01flOeJlO0bjyX34hFfpLtJ8KAc5u5pmvM25zS1vAFlwFwbJtTz
ePxm3bpJTAmeoPZYdP1vzur/C5aF++1fkhxPn0XR/8f/+SzUf/7H+bNNirT5u0HJ7//8H0UdqI0B
CSmS15ZzDVD9NVjFkCQEVBWw++c/rqTHvySr3N8sDd8LfNhYYH81ZOuPog7JKuEj7WPu4tiksgBc
/RvJKsf7e5DeX5NVrq6S/Wk8Uoo+tnoIT/uCa9PKMMDjkI53Fl5X6XCnnNyrtmGEm5bzJzBlrtFO
viVVXZ/naYiOmHXrHQsVyMHllGzMefI3MumngyS1yUY/IlSujNhCj+VaA2tBSppjpE8dVTcfC+Hb
K5JA89ukq8g+BAkW/mZyIPFZ31u9yN/iJiKT6leAxXWZeexlfobFGh7LhUOzrUvPBWmcE6wTZwUS
LP0MOESf/ZTayCbKdGe6rShRBLpITb6r2A3zgM9BcTwmr0nlurq2r330kjdLHzMJoCDQ/WLsz+8m
yCDx3On6djfX6Xyu6yE9zw3eFpYexi4KqmhPQOunky3L2gs8+uC0QNhG50wm1pFQzr7S1XHp5gOh
ZOrkdTaozdSWyzth6GwL3MM+sJjlhO0n83OfU/Y6t3EL2h9isK6s94A2OeYXLmtOp18lQiIIw4R7
drmefnf0CKFrlQF+F3FHdi3I66p8lZX5GxAS9RbDGD6YulLvc+PymXclpPJ19X65LjGU3mf0erNh
X5ccdNRZeMDycY8cGliDCL0RMa7LkeW6KFl6yc5Eb0/kdZGS6p2Kp7crxnXRIpwhXBsF25fUlNzF
F9ZGrJIT1jPE87otNQjjUOp5Fplda7PwDmMczv+TSy1rnjjtxQVGVPHFq5c1kNAbIexyLIeC66KI
YAYDuuK6QFp+XyZdF0uO3jEVnm8fQ713cgW9b+u6jKquiylYOKzD6z6ZH6KY03wL3IfNh15nNXqz
1V+XXK7ed5Vz7cKyMLqJsjPI/+i6GmOI3hwTx5h3RWJFX/N1idZeF2rDdblmXRdtkd65+dft23UR
Ryo2IAvFdm65LuqScA5pyddWeROlXbsx9U6vEkJyHb2u+3q9+RPUNy6p3gZyGWVhElUKPltKgt2t
LBaH8rpEVNeFYnhdLmZ6zwjYZf5cgEu82Pxr3Q3zePsL2iPLySR2q3qDXrcdVyykTIPfH73QVNfl
ZnFddLKrY+kZXBegk96Fhte1qLiuSJPrupTWbFxu52zyNEirR29OqMJ9wrKRjytbsRpi5KYXsNl1
GSv0XnYkunY0utQyCf4vMeIrIig6bx+5JwtrMzcjGYZM/6cfwgTmM1uV+8NhFHHANt1dptgFXtXD
7CRG5TzwTWHRYQVqeoWQGX8yZE6PmNPyo5qjDuhMz1FHemjc/TwUAOPagr/rkujX/TiwBJ2o7ZxJ
n1N7decm5dDqhb3ajoCSDmFixE+hUFTZBhX+Ah1u5ZupM7pXiu7J93TJxu9xlA07r47muwVWyUNa
tsapm93iIcMr2q3ixtBiGWt2PoxmtkFs+DYrqmIxqxvJD4luUBV/8IcUBwJk5kObWbQGnPCDKgJr
4FJ5N8sABCDoSUClQyBvSAy5H4ET+xmtW05kPrnTck3yBsa1z7OHBH8+rC02hVjHaWgfKdlUJ6pU
Sm4C6rzppvNFdJNl/nSYPS7cSVOYijVwEN24rSXhxxlmTbu68VulS03mJzC4kAlcj6+8bcNLtcjH
ucS8Hk8TqQUnKHeuETD4ntxePXvuEJ4LJad17Djpj0okDgWUZd6aQ2/ugWvLI0PKdOsyjISLVeUM
JgyXQSY0e7euxw2/6s2Wa6S9KmfqUHXnGCcvnpx3GbcExNLEafbuSAQ9Z7h+Z/Dcuy1Mz7oPW9KW
iRsNG7Nq2ovLc/6hjodoU6KKndZDn9d7b0ycB6938merhT5v+XTeaVDmw7YPRHheiiljeG6mh750
x33pxMaJtSl5+FGUFZwGQIkbNRbZbezqc79lj8v32AjbQ5b/P/bOZLluJM3SL9QIAxwOh2NTi4s7
c7wcJW5gEklhnmc8fX9gqKozsruyMjdl1ma1izBJwQgGr/vv/znnO3n8gB82ObH0vngL6v+W05I8
pJd44jv3tnfFdgIzluPM6rKYLI3YSI+1zyYkP+uunYs7sJMT7JMy+pUkafiAjT54EqypMz4dQFTC
sWUdz6B5i6Wt+YEvVr3CBqBjx1y078VzfpSyIzXJcsygjAvzN97C0b3kk+1eZ82CZG4v4/XQGPKW
blsXslNiBWdKtTGimOFIYCSO9yGSwokevxC1mN3M3jWS7MFx23wXxwHUx6WKmk/YNHF0K9xh+WEQ
4gJHSBQUwT8tHT+xp+ma/q4Q5SQgRUVM4prayuE7fQDJnq0+OQ1uscPg5eV6xuuo4mmKJYku1QKy
ol3dLlrRCLJ4tfi0h7IgOcDxS34KCpepFxDuvW7fg0UD7l8KsR/G2jgveuk/c4BC+9Jqh8cm5BpC
O3Yol4codA6hRf1AmsfHUHgivAupPUO5hg2/rx0HC1mjeHj2EiZ6W7n9lTta1tXAKxLMjNkfKjuJ
D7MsOekM/swpBht8Xda44BIdqQOrgeTcKl3z3ezq52DEh5NzneCvm4Mj6832YXQa2IY6cJ/axBtY
6o9gZnLkBc2IeqXpyYpMi8XIYEiGAfZCFKMp99rDoPDzv3eMX5tV3suK45B3fvtvX23Ev0XDv/zN
7mu2vvSfzfzw2fZZ9+9z6Rpu/2d/8bcM+V90meC5sP5h9uHqR1PwVdO/Buj//FO/53L9h+MIgpYM
1+I3xfp34EH+YRJ14Gea1BpF3GsU4vdcbgGxdizPNL8QC65r80u/53LL+gN8LfBF4AuSv1D/UpvJ
3+fn6VDXrlhVS7ZbQJTWX/+b6Vy1jlG5nUf5Q+scEXDuVJD+sjh6B3jTRtBdhhJ3GVyaP598f8q8
/w+QpHbXuf//JC1c7GQaBABPD1MhJglL/PUrE/y1WY1nPbYar/kMSGVs+JTwMRqdwQpPAjYSKy7+
OUiisbE8TG3FGZ+RwrqNrbb6BakRoms695OCXY2OVOoZCIeQBD6ZpFfRMKTmaGPSXMh9XvOM7c0h
2ttOIPyooXl0UYN7NsJO7UPUn4V7gSUHkCHya6q5G8NMbamZeU/Qr7bYnfYJbl+/M6Jhg0/uYc7X
MSQ0YWYLk5c1eVE5NcmDPVmwrKdpsG8tRqP7LLTSW5dLZEXYJOOtrZOVOsbXC+apPZBdzS+zU+7S
KqE8At9JWvGtgBlmLX4w8d5hzxfzh0fuEz8v6+HdVoZ87tx2av22t8K7GFrTNQQ3x+dyxiMJ/Cff
VGIGntLhMKflOHyJR8t74A6dQC1F1TbMyoM1iv4yl7XcBmUHhAXWCDnmRhprwaQNXHIlKoxG2/0K
JuFR6VB6cEbDpPM+umpEQp5HZTCJeOYzNwW1jbg4LbUNMOM+tBxhGejhOS38jIUnZXDpvHKVdHQl
bHO8gt1R0EqdkaA1HHU7xbm8wyyEe06ks3MPKcr1SVqa1/EXZwtyyv0U0lPoL5wdaKS1252Vmxdo
4Rg2DhiUpush0d2eQuXCJ+/m7ZO4W66Kaaie60K7vV9XLVl513bKF55WTP1kJQy6gccKEUkPXnkf
Yh2k9k2mWCUhN3ZEmYs692VbedBxy14eoWHEKIeRubzkmTDTBtE17IASzhbumCrT8x2/b6xXZ7r1
6Rgu/tIQTWNHvtO7j9TYWr5JgaTj9w2cNIfKu1PfDlJtdFFCKQ55DlEHbQr7ILEsVtsyrJwXZx6A
aS3JDL+NHDH5hqnDhKeaNuEl6FYzNp/Wpcm6dKobKGHdG8wmfpDS2vwWmmX0GXRu9c53Jn5o02Kd
WR2gLPWczcUuln30TRaA7DZxH4d7kRAw3SjTGu55IfFV8JoDwgRdDx0IQNLbWMn2rOAtEd5GDyTl
OyRkxiPbmncinsQ+YZx6FOViPxQIuDCISbtAQGRbSDbJG6b3OncVChxdZJchsLy3VlMSh8qQ6Z3U
TXmDlpdaqxVKvQydRQ68761pbUWhqK3s2ucx9FiAiqJRP+qYKXVT0Qy7tayGYLTKksYExVFbn0Yb
W49RV+Uvg5MEF8W08q3okaE2EVKLsRWjbT4xIpOwlBYwqx3DWf5YqlruWtjUuEPrEINYAEoXiZsx
1d6TduXtrZrMsLZqYtAJI6UWaNtCH6yIDJIfYWQDpaTN44wYPByo+2seUEzrteDFzK4WZC+LsseA
UwRfMkCzPBuNuxm/LqWUqU5fktmAZ2iaZWL6qnDLd9Ns0LfpxcqPiCgMeJaRuDMnoXBPPZWyA/6E
nChnlejk3siz6F50rtNDoHLc1F9AtF1itO4X/pc6q1MXZ7rSFWXMUjWPIcrCVlaSIdl28guQvmS3
VMgyaI9T/c1uOdM5zMz5+wii/Y3DnP+juiootcZjWWDB0nhR/XoIE2Yu9M8KKFc+LRs+5B0b2Il/
U6Pqvrq+C0wbCW8jixrUwh8CxGgy1stwO3ZqfMlMcmQYHmmFBK/A8+hoQob/zvN1oFevd5xqZ1pG
IbfjbMJCofDw3gDt8qzBalAFEAwuWMuxkN/GfKk+iHg1a90rmvoKgqapCf0nXPwqi8hvhbqZw5MV
GIKCRdtOb9kRmxEe03CMdpDo7XM5qDA6tJlNw/Rs9Jg85t7i09WUeQynrU6MHyOBpgCPImn+XSGK
YN8WbYX42EIRk3ZNYyu1gbgQArp8JSJu0gzbukwn2nVLI099AgXQa4NydnALOC2/xXJIG+B/7q+b
lhJH3emFqNxQ+RVt0eAgmubNxV5Pyr1xX/qkyc84ptMrth8cxCbb66OKZm7QtOjn11xbHHqhjsdb
2WF8wyHPSb0UKQjNGVcNFn9Huh9lodTjlAos1wjXGOWr1Vzq9m7za+6H6ML4ym4gpnF5N/DIv9VU
K+75D6UlOizz1wLN5Bymuoyxi3LthCoLIXURlsxFYfqG27c0mcL5giBh/Fi65BbmbLDpXXM1HjF+
8dJ1slsZ9O2468egXLGdADdBakHWOQa4pvAA9Tr4YYYzKk+vOpqoSzVnhN3UEL2aNki9ba6pyPX1
NEHbqyz+26Ygmr+txJEnjt/qHn0bEoE5zd9L7udrBZYEXT0TtHP0EBs3Vru4CgqVwnlDyAlXBH7c
2gOjtqJolGE2b/gNu3vsP8NtMAXi3nRb5xPdA2pdEC/PDh+kdw9CGbKEqWKE5+wg5LpL0WUHKaAB
SP+xxAOlVE7duo7veQbMFf6niUssa/LvpdWfeqqas+t6GNzvDmuPX0sKHREWVk1+3CJnwzcuiRaC
AN00CXlaJkIrNLPiViJ0o35wu8QXRRHdxLFFbcmEq7hZsm3ZVayc0DNT9w52Xrnmxhc5nSjmcnj6
2Y3EmNY72wmsAB8CNmRAA/FLCS+4LYfydcgb+LMNygeAPnz2OcSJPYNBvfh9Z7jDFRtK9agWG4Jz
PYNZ8PMAlbqKJqPaYgI5WHkwN7u+MqgjyYV+r0VnXxURgJDNRJCKdm2k62NtGOq6l9Z3ej/qZ+Bw
8qdOBakW1+THbOeRqidyxtIq2kgUrV9aGQkqbe/SuQmgTT/QSxhihhpsRBFA3UG7jaY+4dNp91g+
xpHI0EbTu2vtTA1oeqPpiiuv+kHK17Gr+YkCCVEwCMGf8KXJtddk9JJvQFdwXXLBW7+aNAhKzuks
/BY3xbBgZZDTnYpjWhzMOR92UTyHqIIRvrTrdMrnM/YF42cQN73exJg5KMRrtOlTHt+92fWAU4jI
gPEWGqpUvt3OyY9pJEO78UTOgseiK/mxgK8pj+FQMZsALRifx3SEgwwU2G5PuF1sPG5hgCCVJskc
3pD8svHjZwu2ZDx2iDtLVjfsRYv61CnhfuQBdeYTzETtQRxq6srz7Y5acYc06Os4CTaJxsLEhsfe
2qR5i+HEnIl/BBM7UaiVWGY6y3ifrbD6Tg81FkJgktLAGgJhexN2Ot/LGHxLG6A1s2jki1WhuOsT
sFahcqJtvqZcsAJBz52KY+g5E3WGiZaXpDIMtNUCgHPbZDvXCyRX7oD/O3AgwLm9XuBP5oQPhfXK
TyJ53rhNds1AeTWWPte7d/umoTt+GtkPJJn7sFhzzIq786JHY7Zo7e1Hvn98KF5wAXNcZVSeFgdN
Xuk1kLp9aqFtm+COnGnegnVoLfq4q/6XxzT4LqOhgGqrkWmQkwMswFBC9C9bt0MDxiqKnmRFLHlT
4ui8GVubnZJYkYBw8tnaA4aAkW/18/grNghUV0udP44Lh8qmKgJ2gUYOABgTdxgxVHbdJI49jA78
Yuk0n0FoocLVZId4B3DTkg7CCOTI2Y64xsib3uZM8/k2RaY3Tw7Gol1oqfixSkFDlWB5iHXQ0b7k
Lisdkx3cboTH7pdeYiMG1/1oAlpQxjnNArSLaY7JfbqR8kCUD/jh7IBO1g0XZVZvw2bI5La06gw1
diGbxOIdt/XWkDPfWleWz1aX5/sqJkuxIzVpXk3LFA3YeVaJN8R+8oqlAm5Kjg3oM3WBy29qN2Aq
Kow/lQgzZME5ivLF7O3saWxN/SHysCTMPk/VqY/5jBa8jEucO03yI5FlaLIprJy7cU6BbBJ4zDxA
qaaFjjMwHnqEGQk0QTOyt8MYSA4HaWH5k2VZX5qv5sgu58cQZBGlkoo+J/ol16pJFB5aJ9k900A5
N9J8covG3oxG9snemKbK9Ku1svlqsBxy9sRHZ223hE7j3Ja4kwAWdQCv0EK0ecaXxQ8cJcHpqUuc
5r61wwqfWEoMyZEOz7xhqrBv4qg+jTp0Kt8okw/lIrWABoitK17JzkUlBb4qKhdGtt05C/zbKUqf
VzAJIW9L7Uqb9WIrAUCXRrcVLPRIvqm7lg/AXWwEekdLSeW7GRbYErLjtimHlk2l26W7nkqCDabW
ZBsREoDxO5r71KYLmq774oI/Mb/PZwKgncXUyPZ7bgK+zCyz67KwyNaSj9/ggWC4mBJFp7PTUhOd
HQFfoRoxX4YEyu4L1ZgvZpGv4BZ8a9u8aV8htvd+Fwv1MCBd7jBlQQEupjs3MiaqLpxeHYmAeafA
DXBijJUIodoaHmlERMMr0KgYUppY07zRZOtKr/TOy9CM0i8DDzAsh/enbt1Drc32VzVH6X04DMB2
BjCahGL02WVr/41EWfihuUB9l28QnLqS3wLQqN5UbCedHf/E1LhfFDKqP9nVxMQbtdVT3nTmUdSB
rjYjgK2n1el7ldFysUEEqEiGRsNzRd70LejNBRe0OdMU07tF+2anPIMYAOJB7ItAm8uhIalMyFCK
advFMsRChYb/YVhUQ89WxGQ5RB4XWDJZJtNANafjHkJBuEkT7V3gM+pkb+m6RwcdMclEhGJxZMdW
CQfQYlLYpuudWWmQM2gomoNKj/aI3mGr9gywnGOn41/te6cwrRKdgFW7nSaDH4oBzJZzdHKeCfsy
sSEHiBKR1medaYNgKiz11rHW/KycWARbKbx03moQdSdv8CbvmNcjha0gmxmiARepT/J9FHGzyblq
x3YErDAtiIZmxGDaWwkk0Vx2tFCGdXxhLVAeu962H2Rn4i8KtcmRGGg1bnF4hLNfVW1JrjMnw4j1
OeBxnmTFQLpxEOZ131TVkVgd01OnIxwUpTF178TVdXf47119/u3m89/+f8KLKrluLf/zLsqrz+ZH
9nfL0a8/8ns56mJNgCvpWTi9Wb5b7B//YznKeUyqAi7R2vS8Ml/+fTkq/nBNXi+eREN0lefgofi9
HNV/CBaqLEctOqJJeah/qYUS5M3fLSnJjyjHwtfKJpZdH1GRv6xH6c41xhQwzA5SMIvKkpmsL2nf
8FHO++sCgAB5wF5cKRSno5nb3QljQZr5OvcqUMVG9ypHJslNAdr6m6q4GPhBL8pTFliq3Hg61S4K
Z1fsYfHrOzPqlIYDocb4unHq8l0uTn/VFuz3zr2pWC/0ZdwPGIkDAFMSEni66zgJ4UXHVULRCC+4
bZRn4QcdTE4OIRkQz1bbSTOSZVothET+p+JqZLv2jBs4SXdQHHEwL2ZwtbR105OdM9VrvYwCI5PQ
T21kjHdUG9FhM6wrPlWY4XmwNJyCOI3aVcftvbOw0uW2LcZi2mQGuXXEu0IOZ8EEaSJ5Bg1K2xyJ
R7PgEbVPqdjNtvWMo22ThhYr2tEx3WILgnUK7iIXkuTOiRZMpdSXwd5v6RsZ7/CNue21UATuGUXh
NPtVmYKj40UykXFgjDD9OMkrJH08ufhQ43ZnxnNzXc6J6VA5RluQryAI8XgYk5nRS8AMC1IRR3um
rawD0dNxI43IMtRcjVX6ngIFrxCK+4wm3TblC0jg/N9IfSd3qRGQaShc+cRTYjjOAUotT3nvXlAP
3m1iL2mmXdua5TNpYjQXUhVTcFBhk56rBvALL7BmAuuauhe2dOqdYw3xEv6DQ09cP/Gt0aEmkTsm
Ktv1Tite6z7uXxkMJP08oPA04YkcyUu6bn2Fhb94lFFeAxPTNdbQigl9PElAODMR2ZCH29fB6Xwd
ov16nkLgKY/Oesa2X8ftsJ683CwcwnW07o7RtcdbuokipijO6xDrxqf8OsSDxWFCYkfD4d4Gi3eS
g5HM2/rr+O/Xm0Cud0L9dT3kyrRTnw7LfKKAZL1Cxq/rZP66Wuava6b/unL69fapvy4iHnLtudXL
lLKbWq+q+uvaIvfb/1Jflxk3UhH48dclB36OMi2x3n3B1zVo2kVwyde7UXxdk6zc+AyOX9cnGgdX
aSi4VetMpR/911XLEos4ROD0zZYNIjuRzSgjnW74ROePnhfrbcvrg4w71ArBU4fxMHmpsE9mZIR3
oIBHF/qi8qorU7A26F2SGzNVf0ezNZOXQozmQRbzit6Qy3XotRlPZi7+ehJB7cfp6JLc8orOulC7
Xb40IyUUA+ZCyxnG3vdsWiNwROfFYxgluy5roQ8lATuLEy4mtSEb6dyYvY65wXVhjnwBirOowDTi
6qcNZ/NakGRH2AZF1Z8NEaTzC24xSG31PA8m0eJ5Uul+6E0cHxs4e+wf8ySlGtqoo4exL9RP4pbk
FRjM6+g00h6w3MVpZs2+xUem33tORbcOU+vEs4/uJ1ufIMH0yx3ZgpksjmEkL93cueyc7c5hQpl4
KwCfj0Tvko+eOeZpjo7YxtO0Rz0I5q8f5VRdET1PcPhgjmBnsWEpbvNw7uH8Ow7/tZv/5dC+bfZV
T8lVPlX3rRi6g1WBaP2fy/2fsiealuliBP5H9/sTe/m++esF/x9/7M873lsRbYK1k6nXyuivm/zP
O96z/uBu9QSWRH7dtdYK6t93vJCopooQgeKPcEsJfun3HS/EHzgVTakd1FRTUxL6rxkTrb/e8UwY
3OsYJFEkEUI9c/31v5FAqyI1jFlapKd4Gvp92gkiyfqYD3m2sbzpm1bAi4cpynynTfG0ld3nJMRr
skbX3Mx8CGr6aZx6/OjmmDch2NFdNyke9IZl0OBZF488gtmCsiJnewArdxkwNix1clEVusUoBtpS
WgxcYVjdulXK6QJBAtS98630qnqv+pkAvvmJ+eXemosU76/T+oWXyM2SGh8ytG/tjDotpzTqt6is
8VeQeTp288wl4tgBXzUc3uI2OxpLed1kyToOkyXZ5Cq8h9frbWPhGDuzniHU2ElxXeEWveoSuZwr
A6MQQC0XbcuV7ATMbH6hPO3JjNMfY9RQJ99hHx4YqW/IuTi7hLT+FqoJQkg/g9YRsn8gpnKghE5e
V8oiGJ5yACwsIbdh7ZHxroGweKx2ZuBqiWP1v6zeu21n2FBwGtyLVNIkC0D5MNvLw9yy6i+Murhx
EzwbxkQHp12HxlHJxj1HrcDnrGpCipSbnEAmV2eTDrifnZrfmgkmgJ0vtV+NAyOEl/FXhV397JVn
3ASKtYk3rtSsbkwwDDryZkmbHuR5+ZlY3XgwvNq9a3iz7ldPJ3tYC0iWCSoqdV3KPyKefKNXN+c6
n8SDbpcPdEnSGlB178asT7+BG/4mNat0+g8AxxIh3+TIm7JO+11Vymi7wDvy0yH7FUMNPrql9+Z1
pO3UwG9fuoyN62i5LOFz84yRnR8A6i6O3Ijgg93sKVbqCfd8ctYmNWbc+PETrKx2m7oixfGahjf0
IWUP4FE1scQBXSj1wBPEUet3lXx27STYuaHh3PRJ/crPq/c5mUWHD7fIbxdRNtu8i/LdULVPgRE8
RTNV0SVbZnTfl2SR6XaADHBoV+lwMrBUFZMJtqd9QDLBYNNhulGJ3e7zvuxezHAo+BHVD8PsPS1T
cl/YBj+zfN79gT3yph1yVpoeasNhmtowuElsUTeHfOmoewziGMzf3FT3Uk3VznIMQAdM3Ni0BKQJ
iduI5EW1V/wM3oVoR+cglPERVw6bVlZ0Tey1B+bZm95MCJzorLGvCC8nD20i9UGgmrOZbF+AUU2P
NPKG5xFnx9HqCDd1UsGeTiDpAap5ybggkUX0sBuRZzte4QjAXm8E35uygtqdivoa7So8L8jkILcH
VyIzOI3Yghn7hM5XAC4roo2amCIYjKZLOLm0etEIu5vGHumsVSjc2r4zGxbZOqDTRnljfBktqMFz
pfs76rxz7MBq4UkLuaJb4IqPbnnUZkJAulqsS5B205ZRGPUqmgilmV7l0yjn+qu6tU271eWqKh0f
yaEU2S7P8BDOBo8Ij06q17n11HMfckfXeg5eM9MNaB+FNeIMJpsq4AunxK3xLLtO/OyxBbwOyxq7
RuQs4iFbLOOWfA++by9LXhWpVTNqaLJU8DDasDhW7XRfdYP4HCpreIhZVW+Z2VuUw0G5G4jhpFBY
LrpeW/2kfWX8HBhl7tzKhro2q/HYdTrzJfs0RKYs3VtL+KpJZ90ajb4KDCp2EHSwZ1Coirbn52Dd
fAaLKzzlgk9uDNaDTpmABqTIvZJZntyPS0Cqm4nmLjI9i8Kg/rpX8XBgPK5fIZn1gOny5hagW+9H
MxFglitihxbCt5PU9PMAQJeV+7w8BNFymTBkbIWmUaqcx/hUJf2Fe8g49WVQ7/EEhT+REpejlRlP
IaH73cJeZVOKorsrU0y1Wi/x1i40JakivmbPmD7UoSwvTkLTaI5oT/aUWJPjIkKzJQ62M6tuKkYd
zzoBFeu3nVE7cOZ0fjCbtLmeDFYqBu2BmyDHBz24Nqdw7HwiFhVbT4F0BNByIXH8HpMe8YMEn6T0
ED8mRuwdRnK6OTHx74YeYgflPWyAC2opZMmtuP47CAh2wI5Gqh07T7zy8nT8DFvUjjWNhxMhEviN
cftCWLbD8acR9nmySYqxwYmofzltcpOPPaevddRjBBtR6LsBtxJryJRWLbxw44MYo34/6JSFtZE8
uJNVASVRjOGeVrtaOOMO+uALPM2DY4zZlkRDUyDded8XfEb72qs+SM/yhG2zp6HGXpJM87gtMvN2
GbB6evXsc9slz23XiFNvIGo36/9pnc7B3h5YpOqco6fzio9CLD97t3wbMLzyTUX2gjPqRju3RaFx
0iI+TyS+46hubjSKMmtqND5L2bQrDdovWU9tdd9CuF4wWcvEtY/tkDZP2G+gbLchdtKuy4/2VP4w
DU4hlafbQAQ71Tk/50IcR+l88N5zqGqwCj+2nY//GXf/mXFXWkyh/2jWvfkBrYQUTvfXeff3n/tz
2AVv7OFLMHnrARchi8U0+XuhJf5glYTT7/+uy2GiNdnrs922he1haeMP/R52LecPFmAOayhbCGWT
xvlXhl3LdFZb3V9sd2uFD+qjbWtMPNL9O1qJ6Gc9dcKYdnNXieGoKNzYTkMLTHOJ5K8w7TyW8bnr
2duJitiGNcQqoVhfaorhGjHY0kTjMGid8lsOJM275d24/o6iFe92TW8y8pl9cieJ3af50nWyL42H
LGVWXZwmjl8N6cThoznLsbxQHpLR54FZC0eELHjIN4UKxFZmI/xByic8DVhO0aMAHhUh3csFc+if
8iilHnyO4SeE91BLrV9EO6HXTkpgSEl771Sv6hccdkPc9sRY8q0V8eHBEGLRNDNS3nKNIx1JzVnV
NatowD5SfKG3jQMB5Db4EuQKzQP0AR36WzIss3UYDRM1r3YFfoMx4DKb4oiH9zJBYL6WA55lJrNV
IhQ4PRqwbq1M/DpMUAe1kas9mQoUxlk0JDRHGlySOzDPmMRwTj2rmrIAw7TncL+0emBg1+GYnpsJ
mh4wFaKXFCRIAoTczFkLrAHNVHRWyhrc5EYwWG7BUUNmhRcm7tysLa+tRkeXaZVqWzRbp+lW4MGU
UqOTermzY6Jou03ZK73xZBa/8k/DDTmEzT0pD12enKxCQV6+1GTyN/IhnbFI3BCvRG8G+y45ob90
aJYbxrQfS8URGJBCW24kaFKDZh+MCb45LtI4NtgxXxu9jP2hr8JguMFAM3u+86We61E49wVY6dGP
ddDSmWOC5EZGybD7lcwIRxx06PL0wKbeyWRZWEH7yhHUeT32w85h/XgUk+66LUhWUe7CRfDX3ZcZ
oIV+E+znlPGaFjeQXAAraDHYRW6lcKuH1cSmMzKyY7KaDqrVfpBHJcaPsGk+SkBZ05mfOvyo5peR
YWjYGG6dFdgZNWa/lh4Rk6YeB/yPaeAwwAMVqHOSmPbPyrMIq0VWr/NdROUCHiAPiyNlyWF5tseO
Usi4atLrDobhpYnde0oM1XPbArAlfVEbJxZv0VmPI6bQ1sqrV10k1gPSafu2MAeR2U8BKAg6ZVK+
tHgMmoEVJ0y7TjzFTcgQZOGer/3erObHuLCXjzyiaWBwzIaiDdr3rLumJ427mYiUjTtRLNVwxLWf
35AwaLrjJEscX2Yy5N87Y6nvvMQ1620DLgS+l+mlpW84tnyCIl6xchI5s67Gut/Bdyica9kVEU0y
4foyxtgWWle9zZmwacNc3jSV1WPnisqZeqckj986rxTTzp2hUisrNBayVbPQ27Lm2pbaDF4MCI+H
hVIYP5/K4oOayZ6UUkS4IJDTqzfwsatbCqkPVt3k3+cs5HNTkTu/wxkJQUfm5VVhZsMT6GG69qhL
5yygshdAhbTv8cuhXkrPTo4gweigjC063hNzEPmxBh/7bOVpe9XOY/jmpAK4+NJ1WXAhL+yuaSd8
CgcPug8NMmH0c6qMmvKWSGPPW+un+fHIal5p9Iihdkn6J2gBNTY4QpmzAldlH5VDyNBuFvpjcVos
Lzh7i/d6KAcPqrM9hYeIGwc7DYo5Au447CTNVrdRXRqnQAqepENYZuNjNYLl9CME5ZXbXfDUbciq
IUqLoDoPqsr6wzTbPF5bwiLJNrWl4jEY8LPqO2bdvg7J7N4xopQ+YSTjzQoDt3jWCU2dlIXwQdl4
2Mi2gVE6zhYmnNLvuUFqPOPQPzjNyI9n9LrEhvmz67N1jisTvDlpQw1IVNMyjmeHI3ztcsJpuC7U
45rHe4sZDAyLx7FP2P3MWtIrnmg3YWUPqYepU9YBewQDv+acroZHMbrDrnCseNxlRLVXgLYr8Xez
S6FByZHGlVxE8kMRqx9opCIkdyPtYPHhncJ5o6g+31UiNtVm6Zv+PojT8AlZvci2QzhZgGLs2Cu3
llPzk+g5hbEWb3jjs4dmAbmYjs9g0/KdB5ZZSXWBhG0IHzNtzi4XTEy1VfOqOQo6Sh/ir+Iozgac
bYi4NJ9GKDbiBAhwTfHgJtwVnGbAgtx4ukq72KSeXi48FApc8EAeq9gfmA/aI/zBJth3teMdqXiN
P9Tk8S6hx+diUGhCM0kdL++pJEaCtu8IrFVJr8stX6LLiSkly8kqZJoeW2ctcY9pQZ39HJS03NCY
yjeBpO7GHFNeQm268MCfG9v+oWscAb6mXuppxvpyU5rVKGkDmFJITSk+K4+6PI+8e5jfToAXwP9E
w8tIouaczuyh96aBdz/JTc0czNQ73KTeMj8Ni6mhCyf4Vdj54kE6sjHTn+4o52NOaTx9tBGOH2Ko
2E/LJcVRXYzhUiJpuZrX2xQFdxLheD7KPqm8+xkv4MDazo1usLN534HbOpdEGFc1+Zpp43b5A3AF
3ALJ0kXbAMPCweaQ2wbhYBwTqllWL9jPpMoGP644M4VJXeobnVa8MUOx6NcOBMcvXI8B9nAGc2yr
FgjuekhPJvzdDWfMquWHyeMsE6iRY5+ElMHliT9MIn5gY+Werdo1xWGwERfyUEUrjQ1XCizd2Cfn
F2GVwte8kagvICEcPHhusJyNeqGWx4R2/iBhwqVvEbuIazUQ/lVltBwnNCA88FQPbKJqJJ8AnTk/
JGE5os1hvD50UTheGQAXpG+qsdvB5QY3DIPUvR1qo6GYXYYfclTR96idnwyLi5U8LjsT3x0aeGxT
JbHRKpPtg+uCIW04i/B42IsYTuDj1M/aiCrzYBWZMM5DkpwsiRSP9Kcv1IPlvIdi6ynDRPoG478t
b+2kHn4p7RYjswG9rneqi3DqRsloYEETS4qXXldEAq2xtDB+pNPPUITexyjpkHgpcfjGB1Va5Uft
2GZzAaHhujuRoBafZY5AcR17Ft/GMKTQYSOHoPqwQ8ouGG9ENJwCvH2K2zllz5NZJSVWRWEPjzXp
r2EbpwaWLI8096mcVL482E39MLRVWp6d/83emSw3jqTZ+lXaeo8yTI5h0RsOAEmJkkKzYgNTSArM
g7tjfvr+GN3XLDMqb9a9ve5FLcqyKimSoPs/nPMdBTbikja1fGNbgbAVr+cZRWB+IL5Am9tsVrhC
M66svuprFDYu8xaIyQk/Ewrx/i5fVYZlEsNYUxg5jO2JwQ7QYfTf/dQyMCYbAf8tKexMLLnLqUE+
FfqvJ8ITAOv6E/OMliaUgzd4NowmWRCCmUF/DJrKa96Xpg+7mIM2fAReRFQ4kKJuk9IB3w6w6Z6H
GVFmgVzVOjn4G6HgtX61hRUK59N0rWePWu1G9wLAczWmNPdMAupY1B658CYZO0jCuk5unZKYVi7I
aseVFZRbDBTOS5/od1tJpmnkgkOISG3CGBGeyRcrF53BDD27TCoSlmRbI1+aZ5kO6ePEmKOjdgsy
9mameAACOouAJ1narzAA5TaUazV99C4jKdeACWgl+X6mJn+35tXbDkv2UJQ2ww7b4eTvZ+GEJ8nE
wDuYqwX7u0Qvi4saNmlxk7ejA4RkMjC3Gi5GgoONxJ34ZAfhCGeeP2ZbPHJBGuVy6CLtS6LHBlQi
j1pqGu3cTu2HvMD7CqKPqzxbyu5eLTq959lfD8wPbJSSAdf8rlmHgfDA3N2G2mEbWGknsg2qgrxy
vy4bCM3UGRFZpoJCHHWBkvYFQ1+GstKGgLOpO0VFuDqmde4I6bxzJ/KT6gLcL1SyvSTN4kT0Wrt3
TEbAox4Bg0+5jBjNlMk2q3wVEmouBDC/sL+fjGSNU9vOXzs+22PTzKrcAsErWzi3oQHusHbzfG96
GStalrjGGwKEwTgVRoexZnBq/2liGodZvXCJ0K7ViBuhCtgGJFy0N6l7ac5A5pek1IREaecLtueo
ZfnNVyjWN7yc03ebv8LbFVNmWtuAz7vbuQCSYtdR83eSbdAl5xb5K3BszUcKXE7YYgWTvQwqOyVO
O3/ViVwib/Gro7LQpx1w6rhnmoYgOcmiI1al7ZxdZdHO7CgykBJla8gCYi3n+ftsXzxdduO6Nt9i
woRTIhEK+cZ6nD9OWez5MZPsBghp/MHP17vWZYWHIWO0n1N2NOkhybKq241ZxeIaah/pfaK+tU2K
oX0CBdk66TBLvIiO2HR2aW4UdFW0N96WJneNCZa1v4ueC2y79gP9K8Iu0uiXgd0zjVLoLU+Mdy2X
NagTFlEOcuZzlEocx2yw3uq5YfOcCXUoO4751UaPt8Hoy1lT9u0e6FNJtnvAYsmGKk+WKXLnFoW1
p7+7hkxuU38UsWep7BmBXBXAWyYtKErIA/y2qr7VJ9nayLx0mHho/9LG2+PduMQSTilqvtFOqWuA
Ocy3QRewPkn7PPzMwaE+ODp9ysKQtGxReOiPG/wndbf6EVJFMwbvEJwWbU0ILWFydXPe3fmjNHed
8jy1526uAGFCsbtXFxqIowZ/2eWkjn8UJOD2Eeu/Xh38vqkuLXv/2fXreIu3rkWhbZuskQVUEC7p
eTHf3X4ydxXfA5kI7nqPPZD9R5V71/iaPBTFKZwisr/P7bhepX6I3LYSeFC3soZk6nofmkHkXUlc
IWrdBl9aRpdkS5MIA8ak0+g5L+uaffK4Iab/FV3j5Z/VSAobBI16V+V4heuCChnX341bG92pFpo/
aGy7u4BrOCJfN/1OTVEzKcwX78Et301bYLrnOaLQb6AeL0QgARESR9LZu4ek681YBWiKOTh3baud
2Mob/3PAdHRITAXpvCsPaxMgafeGsmBl0DVRAZHqQVnWcoXC1/wRKre5QgM3vaOBQ5OXlEhyw34x
4aaULQmyHJLTx4reZMI8aUn8MyI49aWk6CJLoKi2I5zFd1F6wbJfPSmuF8Aah3ampi8RQcbQ5KdD
xxqPx6Qr76bAWW48dKyX0INquZ6wP4YIDPv1ayk0uomSCnIr3Dp4XFj7Xi82/AlPNy49MVk5qG3M
nU0l/1UZs4oVMoPLZfIqQwyO0IfEcNYeh2jvFW2x7VDxJHHdhuTwWUtM2E4ZN302s73sGH6UXtc/
Ue5KBhSL7rbzr54DDfpOAiH9GThZiEK6Xe9RUq9vFgvC+6bFRroxs0JDx3QJLmLcb21zwXHJ5CYW
bXWc7LSLs8rybofSJV8T7a+xtUXbUOwYtRs5DPa3qd+L67GiPx18V75OyrzyLyvbjSl8cU+kZn+Q
tZq/EabM4AgSKevDpnyVRK++Jmbd7apBqRtkmdYeuYgddTA9wNdMcKNci4hbnJGZFNCz/Tw/dRjj
JaQ3JsX+TUCZt3Wl714twrYopMIV6awDUhIPKD3yiKJMp8Z+5DKOWIJT3nlpfc1BVcBI6YMXtqoX
XYyScgutLYd0kz7i9wvHODfH+RG4uY4m3bJFkOEgbgPwNRhmCm85TxXER05cKJ9OU0VLn8rTuqad
fTVbRdfvmaZhU8j0m1EE5qPwZM9aXK76aR1Dqr20dMDIFWZM4pfJt7pCAIMisFVN2jNSx7x6kvNE
GTJl024UQlDnrKX/Y26qd4w5ZD23JBF7/Vp/jYufxJwP7T0KtolyKDFuKkdiK0yml77gYh1IfMb8
mnVtfImpQiw6k3Bc+TedSGqLfdEIlw704CW6YBL5FQ7P5uibKvgye+fOSCi7NcIlCrJkufPchawl
9CtbS1fG5jI4KTCUxNlc9Ef2esymlnb1nj27Fm+iNFi9Yb0d0yG/8mUPR5B+A900hS2WIrH8WMla
fMIfaP6c1GDQD4TibljzuPDE2t90xlJO52xEise/CzbaWn1IYdl6bzh6PlB6L8AQi/qu1MI+4CGS
e2XW/fLNLBP8MguW7qC3ks2y6IxKijBXm3LYxxlXFlCXWYVOwzfTAduzEagCiTL737XC/8tagaRD
C+3q/10i+/Kl+3/bfDXpe/VHuNd////+W0Nj/sP0GHG5pu8jYQM383/WCoH4BwgRB6sURHHzTxAB
2/+H7ZjI+E1fhLRBf4AIwEAXrmkBLWVFEQjftf9/1gqXncGfdgohPb6NLZKjxfc9iAR/UtD4rpFy
CJOCpMAxRhKRBMMoL9+JvGR43yzHP3w8d//1L/43zBB3bd70+j/+3ULf+/vruZZlI23kEwl5I39+
vcKeE/Q8IWO+UqcUuGXx5Tqu/DZaDcSZZZx2hMNdiNz8r1DaLCOLxCITw/OKZ4Gpu83PDMT3uPsX
f9dvSiKMoYEL0zdwWbvYuGt/QxqEWgNnXeognuzqe9/wd1hkE2581PN2755C+C0xMdsqSvIKSeZy
FmowT3//R1wUyb99F66DZNokwNNybPHb31AGmOcug5+4y2cZ038mp8DK28e/f5W/+MYpmQOBEggo
PxlTf/4GfD5kjIhFEDstzoCSsZ9L3teUM1BF7T/9iw/2L94TzTzvxmVuhRrst+dL2coyWXaEcdj4
XjQHc7UpBljZf/+e/gyoY+sWBsjG0aKHnskzbP/2VCGLtOQkEj8WWc3bgFewIQHkfqzzj79/ob/4
8LBjIHgLeT+B90t0/gfBGe46PtHL45vkgF/xDWFjo1opnebOKcqb/8GLIV0nHsFFVmD+9q7mAZeT
r12Sdh2UVNDjSSQjtXNH+nq1xalz+PuXu+jyfn/+2JwEDiBCxNgI+P/8ZORsMFflp/htQCht6BjD
68lPzHsinzzE8dmFgSm9CGOUfQAr2UYWO5UfXuU0G/Tj8r4gSCl2mnrcOaVHouUFlI1uG6qvEOt6
19sdZVKQNaE8DsWvjL86IGy+WzHUt5OctjQL1m6gLRk3ZuFBSa7Vt79/j9Zf/M5DlInYz1Eh/vPz
yAjKRvST+3HaZPaxYFN2XFioMDETTwYXbVcQ59io9CdbgW7v2qX9yPwt+Bcf9V89ryyLbTe0fFM4
7m+fNJFkbiOSKowr9nDH2c1vGrbSrHsyb/v3b/ifX4mFNveHjSFD8Fn/9kpZl+mJbVAQ+0leb+cL
FQLxyncN92D/96+E6uGffx2Mv5GQYvpAK/pf//wPvw5ZW45BgLYfu+FoozxhWqY48e9s05vvPYMH
wZb9I+EC9b4YelIKgS3IbeI13bQp23k6IBiq4sX3GXLrQXgPYCbFuxhlcJi8oq+2jFWWBwa27nXf
j+1VmdV43FS2QFCwAPRFFVlGMPxoiszaH45muASHDmFaFCoCDgypWX8pae8doZAJSVTTFujclpZk
6m25Tcm4OA9ZIW7ZT8Bd1plGBcMYGNFNkN9S5hfv0JtrVPPhtDercD0shHix45RoFmXvv+bO6t5O
jPuhIrt6azC03AiYk2j77IT4qGVHqK6zr7B4HzMCkba6JkuOdUn36EKVfrXZQbwT/oiiNAMEwrhK
JtumnfTeh/EaNbDwD7nZFw+G2clbbAQB2z+/m0i/mNn4z5MjGRiNyVmNWfKcAb+Ox1oSzjfpGZyB
6byVRvHCwBddLB4J76roFYY/5UA9znbMRA6Oa9SHZqQf4wRI7XvLCnBpOZkXXJmuo2/XccE82kO3
xnRSxrwdfPIjg4eE+cxOr2ToncY2B6nDKbVch0N42VjAjh92g50M/pbAizyu5DR+UTLxmUxOc51l
F0J/NVg3sk+gzwjHHo7k2eoXSzfjRfFeSKYlTP4ItDPDZ8q2pafWDXsgx7ULpMsct5NEFq/oZHHh
e/We3AIQ6XkadMlW0lijfEgxs5MZ6V5W6ONFOpeGKmqY5t3aBHeozWho8Z54JQ41vlsOIfDzexc/
zlvW2bTnyKHfsOKYZOTi4r0dU2lixRtLXicYTHwdHB60H8pdFP6YegqfJ00y17PjkA0ymmZB1V/w
HvxE8MSHY6EfKpdCiCn91NHLEXlRa2Jo0H78XFNnYWmNZTbd0cAkRRzQeK8kUw7LtQ3m5rR6vddi
xpvQfF3CEbNk9mJ7pcBhpWnXP3DMjCFgGXgpIM7kkWWiv3HScjiMiTmfvdWAFVi4KZkxrXFZfzNo
gDyW3JTDjB3WadmDzY3F35tNyiEnN+i9fMuEKgthweZYEyaFY9+SJ9ab6irtm/rBaeCwlvkSkUSd
PdpmOIOI6/pI87cdJqNNo1D24SEQZs33OwN6YhXGIpgZHgv5aiDHsE2tZ/Rj/pWzyK+WRd4+H7Cy
KrAX38Mk9GC0pEQnGBaGBygCNuT6EZeOtQqUvgEZvrIq+fTNoDwHQxMy31+yY9aogPcKtsHRef1u
qrS4KcCrHAJHJZ+ls4oEGeg0fRsLk1aer/gh8YmngW5a7adlzGKDzDaXUpS1i6j7b3aolwNj6TpW
egjQsKVWBOLXYMoVRsSDLed5tdyrxJ7guPqMatSA6HvsTqnIgyvdBrLf1nS6X1qnAZq95CldRvdK
KqBQRrnYV4hNQsIBPecJv0y/r9LUweWcgOUm0DE52KZoD1nd0w4KXFsiMFISGqDoogkddzX7y6u0
G19ZD+pT0BKfyq3H3mEgZlAla3PuK3HhbbjTihowd3H3wzuFaVoVYLmJuZ1rCm9H4A0jYWMPV2N9
sKWvz92KuWQGLLgxDXSBXPN5LGU532mirI+s7ZLXDszeBtFOiCjGXfezAmjXgNQ5pwyXkWx7catx
FIEjwFPukQBY35tmWR0RN3hH5LP074zG0hUETzUERtQ63vSFRARxf9mV9cpvzbBe2aA6Z7fS54n5
xC7oYAvOk7lsmQFZ11XvMKllQVFFqiLnSFTtFLUuOTHa6mkoLKILVqXG+0R3TR4pFwJT1a9wEBrj
5wz8t5588UiRtMaDxHsnWn7KnsWuzPLEfmK9dWaB9q3L1TWqezBHltHBv7EVyP/m3Wpb1vi8c4fw
iTyFIwOFDeGED9QiX0H5YTRDkjk5N3IakvvGTOq9Dy7lqgjcs9uOqDoDA4K+4yHLmQb5HTM00eBg
T7fest55QgI0mxo86t48ea9smeY9s7CFDNCkdDCXpcjXXdC0lFVL0z1Rl83f7CZ3DizzkljlE1HY
HDY3eY0gyZJG+JDxft9IUx3VrpwrxacBa2jmOJcFszm0Jv7Ol21iMgBWoDEBySOg0WRC3lWiwegH
IVK9jJnSP7BYJVCc8D0irimWOYi8pkYPo9efAGob4I5Mzyd/eGcIgkhpUXDJAwZUhatQDJALsdNL
dc/ZvzM5fG74Ecp4LXSyRX5XvtmmI082CSAbklfWjbVMsOirNIvyvFwgIYNZKSd1pdYEE3rlPo8o
BXZpaDyRy9LByrDlHZntQaSRTSDZz6wGVa038eQC4tyi7pAPOE0f/FzLQ9sRJRKCcTz0jEFP86Jd
DNEDqJekyDjlhwa5p+ChGKVtxyg4vJgjxSDMSmPy7+zqeulr+w4neL5rzKx5IwpE7yVWCyLHiitW
SQzTdNj+5ELK9whqyQD2zPEptVhobfNZTF+qWoW7aXHd7wqFvnpdQ5OaUSyRgcTrEFRtfYSj8bO1
7fYE2N56cKxQRspc7nI1lqdlFQJShIPszbKM8ZkYPYjBuCP2Gd/NLdpw80i8XxIZTajuV1Glka7Z
XoZyuLEaI42qPGxOXlBc4CfFUB7m0ZzjqYCUPCQSP1ttfpOrG2xRadnRGowz/hCBRCZ10+ZUQP0H
7GObkeUM/Wa2izVq57y8cpecPS9uG8KOZqTs20Ek7Yc929UVUoayj5qeTyT0iipOGlTRbtayXsy8
q9IdXhc1t+e5nW/mqtWf5FwN17Jz4OJZAGbpDW8Gp9VgybV+d8gvi2tTjsdaLHHZGs8sX5EjDmuX
7mWTNKc2qRmidnOKSdKrn6C59jehP7WxySV4YPB8apZaPbldFmwaFEEowEb1KZtp5eamKNjYOfgk
IiWZ89qczZcBPUagJv0GKavZahNbSoDtsNw4JlZUBhnj3Zypl46tLxKJ4TqzxwqF+7RvSUPZrf0F
8TvMwB1mXHJju8Zj2I9w+EZEP51/tler5jXz/BuFPRP7tLjIxxOW+w2Oqw1Lp2dSEfKo8+HWleZH
4wGunaz+WA1wNHxsNgen9dN9gKmQu292D30u1rgyCIsL/Ui3wo8Wb8G30nVGcArbudjZQJ0O0DzG
2ah3coDvRgu1ayCsxZTy5T5Iw3TvZUUSZyNpKQ6vv1G1+EDukrz6NfJUJI47c2Liuhbroe/k09Lj
P9bjcuqN4Tko7Av7lDSWUb2FPYYSJzM+AsyUtlOem9x7SEduqLy2biF3fKXll8L8EMuLnQTdxiN7
T5avsjt1wr/OBYwte0XH4Q8awq1xrXiCrl3kbnEyOcFHO+OCSO16yy2F3LMbY1KQ65fV+WQUV0WB
La2tNRWEPcuu2gxiMfgCdf6IfRu/jW6eCJp89mTBf+R72SXf51ZcZ8S5ubborzDk4vSuFDk/dfaU
2SHshfpxCoq3xpbHrncvTrTmhiAr/nZ7RBTajcCzRvxbfYFD3TYGsnrJ8tlk0mbrO8lo8qr7gl/V
sSoyaETm0ZuWnRFIsQHcv+mZFu9kkSUHz7LH2yZMBUQ6X39h7goZmrGZwlFxIi7Ci8ZkwtIxJT9K
x6cxp91/7C8yqUuTz08WmOMHaPAuqgGapUktIviQ1WkpK5BaiHoupZQn966DayKrsDfouSl2gRUq
MC3N2XbVvNXNTK3SJXCJEF3GBqbpWE95SVdvUMPwhgsbBs5sDwkLRhdDXcv3Td9KnqDhPwQeQWXO
lG89W30fiR4md6bfNB7VZ01A0UYknPnoT7fSCe+BEp/xPr30S3NTe4m7aWa+99ToTNLzKljs2dpx
6TdPZu/OWzU6bB2L7rWwRhQJPnv5vP3hG+6LV4FkWhV39tJpvjRVPne2M9wtFV6hmWHoZhGiOqgp
tYgrRJ7Ksp9kNdSK7/k49HGGe5sjpS1OfgPxBdSZsSMD5pJ8qL6TEDbGiAd4p2aBYqQYb4WFvDCr
nRbjSDX89JfMuc3J0drAa2MHAz4wMsK5hx5knht6lqig/zlNTUJx5LVbYas71dNgiC6Qr1lniLjJ
kiFmxPIgic6LEtQeYkzZK9X9rZbGsJ85O/Yum+Jzi4CVon+mb84tJfGHQSBQZFtFiBKgAzbqhc06
S5LAMSM7V6ibkz7c+pM3P9oG8ie/6aglFYCZtAVwOPOmTr7y8WzMfKW2NXQYkowh5r41bzqZmce0
LZtTLQ/IjIu917T22VxkBVNmKM4lAaDP2mq952AWX4CE7J1tN6AX2aq9VJDnD41VGA9dN6ofE8/2
Xa8C77zkDqwQxzHijlSUeK5nrHlVqG/EAJIaAn+z87MMdYhERUtUkbxQFiwynQB0Qv1KCdQxkTAC
62TGRwoT4UAbYs2Go8Zfw26veluwnJAwnpUfSUoSOCihBe4spVBPixyHBYaZeQGzXRbmcPAkIXYF
LD7wAP3yNqwEFkzKA9XeTJGpYcNBVMOwV4hpp7D33eUm6Dacd93J97Nx12jvW8YgajuyRTuvSxge
7FFY0cwshbBMJNct+LSzOyt1LMxq34TTHBHJLOilanVF1Oe4L3JFXQln8hxOqA2Kpsq2orTYuq1J
duxA4MTDDEevrnoBwrpc9gMQiHgV+AjYjAWnJAgRRg5EADg51TwN2AOcWAfofGFtvbn/BLU3vVpl
+p18ouosUfG9IBz9pB1X9+SIY2xLlTFsc4CLkVWq8cow9ZNtixdeVp8aFRKxNYDnzCiHNdE3W5Uw
crNnnWu+KAU53DSYDTVKO/t6MJkF1YbF1DH3ACE2PD5t20Uia5M0oulzX8hMwp/ltx2yV67phEhF
QKzDCAKhpbdaCq/5xqyieeoMnE0qzLp3uHHOfT7m5p0tpbPPMNaR9rjm6g5U3Q/sBGQM0IJuO8Pp
N/AOWlwCa7HtQwD9m27wr0vdqOuGvLi9F87lcZxx9HYywcJktHVsGFmz7XTQAH2y8tOSLShV2Fb7
qPku8a/N+n3SLhpR4DevWasgbhSFYsLh/fDnFnYTVOQtC4J0r2unu60ccHUlFlIkg3RaAdqtI4/f
t9D1OgunRSoPc+pk11gy4X62bX5lj2MOGL5konpVzUPlszt0xm9LYbqfuMCkfTJWXNDjhGkfLdHq
v1qYPcu9O/mz2Kshy3+2PGT+1unYb15nab88rnUINqkyDZXsAxA8LjJfVb1OnhjYf050emu/Ppp2
6sYkRXA7LvjL2Jo8FN7AmRmq8gMRUBYVgTXvgDwiX2iQP5W6E09J2aCaHeFSWuoEnxb+WsndwW+1
Wgk0qUOyXQKHd+HDPt9kDVGPvV+1z7yQekIe1r6Wl7MTLeBNi5wmKprOvxZZaEUV0bscc0HfvHVI
jE69qMnXcP122bngjYEzJOPTBMfkoUxGtN1Iqc9osyCeGOC1zAYWwmIUTNl11VUHctLRTfZ+PuyQ
dK54ExeLM7E2uX+NtgoubNyaUGB/Mva530p3415CYytEQ5H0U2bpi8SuiKreGrBLDwaWWqmriDyd
7t0D1iEu30n56HP+3Ax1AD2dtD6AYzST8cBHHVxzf6P+yW11Tygcp1d57wVhHSObJ4eG+SXiOzM9
TwLVWWoJxGH8PXBVEUmPxg0DdyQyCfvvMeHgZY8QGWICF1F2MsbbvutyEroheWxDA7iyQdIhIQ4h
ua0iLRA0Sv3sy7zIdhmGPhoEcJUerdQhHAOCuxR4nSlEeOWjkrqnpUz4/ddFDE6LFbvs+KtAVCPY
oLoREDcM66IVWKfPFdjeEcjzikp4ekYVeJBTP8VMai3wOokJFKLRe7gEJrEWGKwriOKHBmXRFhKY
PBHrce/1zbBvR5zCrjkbW54W4L5MhfdMdYYzORj2j5m04GRXFzUaAcdc/LhXJjDdxOz6K9dXQ+z7
woBHp0DVeQVO6GGxuxfGH903zED9fToF/WsQBsUtnzx9MaO7yBqVf0sth5BXpkFU8+vb4TX4QrCr
DtC/51uxptC3iPpNfjCDpcJnXg4UA5sgC33OPHMzat/3o6FsjHI/pRJNTdmGff+zdE2IySZyOcDB
08zasRYNwEAkieETd+kgLgxkplliGWiDS4Jy12MfLl1L0W2yUg1IfFxbvz73oiyeSnT0eysL5DXG
iQnbx2XjkuAOQBS6nSug3VXW8m8fJvIx4EPHdWeZt4xFfP7VOmR8oZnoCd+fGaJTy2LPmqVd3XYl
x3RmE37IznLbYIkWnTveJlW1w8pOehJhtHRAyRZR5M9hVU9NP4dPzTyhqCFPu/A3aaPrnW+tr3Uz
v6z6QgbtSzvKxnxn6Avhs+vTbbuglklbZkIsdDDr5Maznox8F+bMLhm7l9s8W9HTwDetyZWL+pau
S6aiwEkd0syOrsHgBWT8kQoW73qukM1HZs+tuGl10GlGO1PYbNUFDu3qCYVoYGTDumGrYtwg4Fpa
ZPBwobCNAaJ0QJBfUfS1R7sg+6rPs+4Blz8CMb/3IEOQNciWmoEHmrx1sPs77aD+4QBzvEeyJ+RB
lSlNpKJbaXfOJU3WcC7Bsgus+KgMNACflLGmOfneK+9rjfql1pdFBeBzZx1759KxVHeJmbYMblbp
fC62pOg1OgP/+a8EXCaLF7Dy5bAsMVChdrrE5bq/knOnIDDi4leeLu6r5UXMpf/aL5l/zUaqPVdI
BO5ZfPpHz3acJ1NAtQBe/QuEabgTiR6VDt/GJWgpZIy6wY+19vizXcDqTPsZ2g3kAYlNQT6H3KFH
v9CEXOdp4Cf8nFxSg8tfAcJ9iBu8kSaxwkoWyNMlUstPaQjzmMzLfDDZjDzkv2KJMQBq7p3W+774
rn8ruqL6UflrwsQ0TW+HuXVfB8PBP6CHtH4vRAj4onb5780UMoao4Kab2xn1KyCKVjyELT6cC5vK
etf47A6T6nF8aeI67spf0cuB1Cnp31gZSPqJ7CzJn00d9j/bBqYlS6TkpU7r9s3gt783NJ98wcdZ
Hj0qycPS5OsLsrrstUnJjSZEJunfbGV470yB3e+gf5D9disSAgdXv6sp4Vdn9PcNjwi4Dhc4To3l
Bh7e/BPfAopr5jZbHCbuRusA/9wiG+fZEHV2dKB6n9U0hW+FZZdbE/vyxlyC/OQxZvbYY/Rd1LUq
gdoMkWqj20q+kSmSnFZqbYrqlYDQkgJw0+taZ7gGxSOXV/M1NkN75zUKHahNFbQR0KL2lHkF3Fzj
O2YUsrrYw19ymkwI+1ZaxWNaFjfoOLD6cezLvdN29R3rMjAGc8q8S+QVRUlj193Doic0zmjYUfot
aA23LnLFs91P1dGdluAI+LnHz9V2nwVFGnRkq3ckjh8fZbodkFKsw8k0d31Zt2cODBxVbs43ByhK
tTFt8mwTbyTpottaFBcTWFVSZ3u+/WGBUfvGwHq6M81EPojRb79Ap1bnxiRxeR0S7ydpH8E56bvu
OoUUjT7QGp2fYiA9/hLX5m4MwgHemku6fPEraJ7wVkLnA1TnaHcnF7zlQkj5gUc13EGldB+1kGgN
IWCtKIfJtrsned19Tv26/mxS9Yzoudk2mopkXDqsND5hEzMTd1nercO0vNdokwleYnY6UE9hH/UZ
va8H3TPWI0pVowklV4hZVjdSYBhet5qnIpNkZ2S9BQYNwHl+s8w9oHbB1pUzIgXOS+x2f5UV3F+7
knlFNK0EXG7qBmDO1g64bGxdsojuyKE6j5J47g2PhH1jDj4DO79HLyc8P/2lTC3ByepXF8guOAYf
uBSo6fY+44sKIni8LkZIqch4AlzwSWnkjpswr5cPsoYnhitV5xcHpLUOhZStlyXiaS50nFjcmZte
6dnb+mHjfR/a0MMISMl/lSbO9OT1l5stJFA2XQ2m9kZjhbhRlh9KleuGzfE0b2it+Z1QI/EOWCZY
tofdhyuXOfbMHsd/S6u1+lTplDCy7MU28xakIpZ1LXpGmNwFrvJizHWQXXwm2Db0Z8XCw+EfPFog
KYdNB3SIcODUqdl0WH7b790sZ3SmreIjgeF69IFa4ytDIm/tsNrlqNcT+aEWH6r47BJ0NrK6Wa7K
0qhw2Pbe66+MWJYYNG+1SuoSfnXpfBZkbREpCLsNDBsO5mWsm9gpR7KDix5lPXpolnlBcyReg0UZ
tPbwDpIZ9DTlDtwmOtEfa4FRiemkoV4KgkQRRlNNtFn30xmt8EoYbngqUFvdTatjYOZ06dYWpdV5
WQZjx66WHn8pI9cjEc5g2xfT27Q4oBxyXGQwOrjscLTdZYG4RTmdxzbRC48ZNkE48NqYD0VNukLE
3j4DPe++Cxjl94ZXuB+Gx2jHakwExViCBuEUT46fVeaB4LWQ4S8i3JDb/NpIW+um6lrjHkn7vxJi
XOQPf5ZcAY9CBcXFDX3SdS/yiT8oFrLS9Lsuk8Glp2d5Ssd852POusVIkHNvU6rejmQ2PJnjyFX6
94IJ96/kEkhQ2ILavo3w5jd9z2obXpCHcxAvXtrfhjAmD6PSbBFM1vbONBPtTU/GYhwL7yeIE77V
YQDPPJbWZuCbLTsttkFQM+zsENNW5Fbvmtlzookynn2zbd016eQwlrnkHjJAFetBeW57wg69nnud
32gbnPckmA06KLWq7TCVK+cKFTB3fUX08lDaMawVQNGog3YeHo4NrkvcwpN4xLDwn+ydSY/kyHpl
/4qgPQskjeNCWjh9DPeYp4zYEBEZmZxHo5FG/vo+TFWrq+pJJWnTQAMNaPOgyowMdw6f3e/ec9mM
TbN112Xe97xunAigPDZpgwc+ID4fynW6WqV0IP6Lj87+RxthGKLZOmLFk60k0T9/bxWXEh+fw7SO
h5Jzg3nnOJDmIpXPp9rCsgTL5TgLCo3ZEan5nEk170MiWi0XU4eBCb5KEvpRBRg82KjK2+WhGE9m
I4kGauOsSaXugrJgABZ5fqxzYAV//+2vRtK/Xnqhy0ILOJKFnwE6xJ8uvYx3STuGfQjkpYUoVYNs
AD666PS8GMMDZExvO/JyjlbT7xVsCvWDjZc69ebq1kNwc60aC7acyD/W+Db+/l/3j7a9EHMmWT7b
9kOcqX/5fOGe04TtVeGhsBCqWEUm4cWM6/6/+DErI/YfPgTie+Z6C/Bot/7yc1oWxo6M2/DA+nMu
eH37BtXmvQJfXHqfNgd4npFFG9WQ0rexGr2HjCFUbxHGizOenfC2nIMC2ww3Swu253YQypw3RbwY
Oyczn9qhkC9//9FYf/1seF6bcD1MrJNOgPbzF5smYXBoAZJrb5Q2D4XFJmbmm4iDeUz9Brq/8xIW
t42ZNW/lgnrG/oeU4Ug9/IzrfIuZYf5y81Bffv271mY1mtTu/u2pRbXaH3nDf/mf//rUVPzfr/a1
7/+7je3Pf+Jfr7PvfSObn8Pf/lf/D3GMeW6HPB7+c5P27Vcm048/+rN//yO/Y1/833h5MUUDVcEL
zdbh3/3Z1m8Ug5sOO1yHIwou0//DOLRpcnNXtotPxpLLgQtXNmpIsTz7vwUW3W78GWt9QLnh/8Sf
7a8AmT/fIlh1MWWCFwiwebLF+ctzYvS6wGmGZd+WDQYnZlsear1mQEv9Pt31vgz3qrXiXVjhft3Z
ZRVfLI80R0y4/UyxhLWji6xiXCcZ30KxT6Bh2YOvNkE8+f2By7e/1laGYB42dCrSiRVYEHWn/gr4
fvcN1FSJdYscTSZKsgtF3h9VNYKzkwrJhq7W28zxnYGj6zCGW9yOJPjY1uAeamYH5wuLIZIYdlA6
50xnMenElnNBrIRxPeV90dGIQK3gpgq18SOWqq8IH1nhZxb29B2YU3DduHl21agQEGxVwEEMXOG9
Ui0AcALHJKCrovU5mPSsvKkGEyrZjnmdv2AYfJsWM7vO+uwJlYT4f1KNJ+yl/YfnLenZsWGkxv2w
9p845bWZAYjTeMB2PGKp1JprZtrZgF8BYHAw+pKVR73sQj66nUW2KDK6Ho2nTqeHnqgO1N3gOiBm
dSYZmUWJLL7IHbkbdjbZQxy4OS8mQiOuP87vyDrAGWE3s9KH01dGmCIob8jx5l4VTUaZEolE3rVS
UcSCMc4NzsaQMArwoa3H2tIi+Nhq1pQk5Pzg2UoW886bpX4IyfGGJIszG1k9T7rbQmg2vzyD5Efj
p1N3mjjInL0ksdEZmim+bYJqDecxy42MnvRGn6fWKkVUEDjk2OM7Cj2pTUIcPpSsRQzgTrCvMbBe
0WKXR3ELVhdgbYD7L1EVbaEwIQQr4vVYCNnvJoMw/G6Myt7HcqoPZKib9VcaMXnQpffcDtLduVhA
UNer8XbgtMdXyQGHCLgOyPzhMhsfUdDTFZ4m7FflTt5L01pEktupt+5Xu++tZzswgtw+bo7K9ctj
FTr4PSYWq68D4vQngOP8Ho2JMiMjTTr2JfOcXCZ+pXEP7KLZudR+4rT0vOwhBRd8hHhrHr0i0fsK
1auM4mJsjl3rrypJOXBifrT7TEXuNNKGmr5gX9YQI+fxRg18xiyb8jftEwJ2G7QH18FDFBDopofm
hoYbC6C/XqBHlwK2I+t6j/LpqLeqjgI1ljiH0nUH7upZp4epx6/D2dJAoGoZ0tjNAaimvYZc8NYB
eP3Dz+O3AUnwkneivp66UJ+SdiIEmi9+d1SspAFp6+aqXmSAUdG24ttcSoPS0zGuz1TYgKawJyvj
tGlm/j3HZvnCBicdIsCp/rUMrf6btumZ21o979ONH+AbddtYadoubKlOWAE8osjsjOZ30FGZeJQB
rb0SOONXGQIWSiKr87z2EnDtsy224GFbr0aSan1Kc9+lGCEZAbFisMOyILw4Dn9tWfKtOxP4HvyG
OWxSflBdZQZ/fWRa4/wMFtvackCvXi1bO9VV2mQdgbdiPfNDKiaQq3hMAw8QrDh8V5WvBEGngwp7
A5K7472oLpwulhjkjTGZ9XPZu2wDoTUQUg1KbX75fu4fJLHoa2qeYSxTwke1Zh7TWTkv4rax9PxZ
Axh6K3tdRn4/uEfNXcQTtk32QT60T1Nmw5QqzQWkS1Q6XfOVjENzvzhe/CM3MBAWvlq+ehKXZP1M
/mKC8qx/qOR19IHljiufMmS0IMKfFiTRgA1GP8yyA6DiS47Ie9Lui4PNCtl7dQVOu4zNn3eM7RWP
WKmpQuEgtm2fKiXoanbtbMIJVCTLU64cmyNt6gxAbH4ddZGYOPbaELnGKJBhca3dxuD1koh9yxGO
4kZFAIGke3OYw2aJzLDhqyyT25K1xaUP4IobjtZ6YzgJJEhePLjoZHulvHyhv3M9ss9aV9cwQ6Zn
N+uSy/DrbL84dvuufp34e2oPgcZPugVQozpxTrA5wf/7JRNUvySD4pd8gJd9/m46XT5vxmIOP9PO
wBfT5hT1QLvFGMDGxazDg+cvFMmb1cy+kRO5w2RIZPAB6Z0OzKrkPHyOPQBTW0+pJOQNhhfy1m/M
/jxhyW1O+dI6p6m1nekak9Z0FC5tLZY0qjPgI8bwmFzKxoCcG+X4njkVpcODrxV+17I3P7pheXCQ
wlZWfaweTV04+N+MlcdDo5xPS309ImEAzvA+etrSym3Rau+1V64KI7Z8lNIUxKdhSHQeWyc8+whh
lAsOkTlP8w/4++azC+D2cQgT0uTNOA+PnjDDc8c9DNzLdh4s2TmvhgyrMw9s54rKWA5leZ9sp2m+
XsISY4TyIFkEbnFZEE/tgRv21wLuqyobqFlKsKvln4iT6iZLK2lEFV8lSCRWz/Ne9qiGB6d0xE/g
0LPaYxqq5nuRmOmzm4px/dvN4FxY8IoPGbLMc65XexLwx6ElwU5WfIcYPtxSNkcdpTHa4WtbhtXR
AlvQbNiFdOLoGtaI4GvEiPxeyry2IRdSuFtZSL5oYlt5dSux3A67YJTlGx5I87bPyXYiBCkPPYct
MDNEqKGg+6V66yrOCcpeDBo644Wa58SVjxLK2UcQEJOLcBH48Pwx3DJ+MM1jdmFfHJFxrm75rbur
OGW3ffRac6LENlXyhyxTAAI0QibA0AMU9GMzD5wre4hZgGoRUWSUmikPbA+0qozyoZqufW22C0jJ
AR9n4lrtF4xDt4jw+TdXEIqwODhT9z2g4v7YcuL4rpxxofhOx4SXBxvSbcSbaQFATF3hBgZU8ubG
SX9xEQteOYEvNYow8upoNc/B1GEKL2WWWDu2Tu656uneyqsxV9u0qr9Mx6ZphlLEbwtr9lNPgIob
i4T5jS7g01BIUw2bGCAyzxRS3JhDQWvu60J1d+RPF275eDBIOwvs0Zu869RbpiAwU8oXWhb9GPb0
bU4ru9zQx5EnO4Ou+rPhBMkzBcDpD1qiRUUnwVQ2u0Y1C+ntpebS00nV4YjrsbMktpIkpqWDKmgJ
FNbYxqE1KhW/QFyoN51IiZ57OITbrqR+qYLXv8zpgYH0WFBmJTd9ntd7jl+EFUyM82TABxhuwYTv
qCLKbkoftS+DEvY6ZSEr8WTQEe99nicFV+VVEoj4OCRle2lAdz3RGgSBbYirrbAc/RZ2XsmuuDe7
z6Svgixa0lR819VqIFh5ws3yBmfixwjeC6XWTKhesEf67FYg38aZqdILqSZpMA9XMxs1VlqHmdKN
eWewrPxmObyNXldaGItmLdw7uB7BaaHKomfPWZbdMRlagixTqGyCk+wjPtvE1VAreEBsJ9IO1WqF
NuAFAyU/Yn2HUMw74KTJ/D00YTa9xINepZzSnoAnMGXiZDhzFk+NTTfk6Xw0ZBVoPAc1RojaDqcn
ANY1vICOf7Twi+rTtxgS7Kxw3C2EauMHVcQVU6ft8XfroL/nCWTagOxEyz6ZxeKd2U4hrjxQcVub
oOJdkdf9o4m7GpuehwtgM7HCeveok2Rf2OKr3TKgzW9BoNvvMO+4O2BMdOGZG4/BMGND+hF6Sj65
yPYX5Qj7rtKWfCYVhaNStArIhUi8mfdsMgOrhqFyoG1aH7l6pnRfpab6ckAxZ8dmycIzmASUXZN+
XopPcRvSMT+LetzmkgC8bdrpsSR2kmwM6SffEPc8+nWnmuZhVfIFDo2gV5iRzfoIA6muLG9iN08r
YLmhi40RbBwS5oFqocyvNFnP0eIAuAAmoLzMsYcjumMnQCodJ3V4SGun+sFDgrq0afKvSxDRYjvr
rt7xmZlNRJBFR5TtEs/TWR3H0HaaF8kq+8zN6kRZRs/l2ArryqKFdxOIghQhTGb28BjNwfvY1jZb
6/pwT+cCUMgyJ885+ZevhGJtvvTUKz41obxL3xJVptA7AB4+yt76pByl3YJCSHD9sLltZ86NsJ7a
HSjAc4/TFq4imBYaLcpbkS/1HfBz8hp0KHsgdkoeLPQinibE5oj8QvcRlqYPZl+576ymlk9ddmD8
22BO1oKN/LO1G1x0ukweVWWh+cSV+ZhNCec/n3fIzQi1fTrYwEyHiJ0PTFJuLNOGnE3J4ZD1/dnm
ttjpahoCwgvHKWAoqOtHeFhUElP+O9+H9BxAMm3FuGXh4Z/nBIxJpDQRHpmK9Kix4Kbb3iuXlXEg
0y8PngcrHsrZOteviKKJJYE7XxO+AMZ651mYr0q+gKfQHctHnhdwtgW/BpORBSBzJZvTMsd4T9D5
yZ7o2uELjTl+vfk5T1sdOslj1yzPf5A/fheK/hjCpgXiz4oCzQyUuPmwIoiqequs8UfROxB8sIKs
JWh/K79vJwgFTupZ26W2/CsqJwln1zrd/v0P/Uel3TdRa32sEnz6llgV3T8o7TZtZkvsF7jH06S8
MGUMd5BI2YKb8FXZiqo9RzLvJKep+/H3P3nVEP+s8TNOMOqbghXxKhv/+Se3rotcWsmFGrlWMOr4
rKJ04xnnfhbsjMowrr9+/cT/L8U9ze2Pf/nnj68qq7cZNO3s+/AnXc23nb+V4h4+8g85pB/1f/Cn
/k2N86kB8z3i1b+UM+Gjmk9AFv7ln73wNwezl+25oI8RXleZ7vfCEWH+BlIgZNbmmP8rfPrvYpwt
fkPZQ6dzBYQFy3Td/4kYx27mL9cSl1HI1RRwHflcy3/Nf4NQ1AZHcSxYsL3LgxFTY3ENQJ0AGkkO
7wSIjFUt0yhrnDBfHd2dZy/1tjKK6kb2IWbnyk4CrHoFaxqhxcXrQtoIqrll/eIDNqZHe3Jr1t6q
stUlrPRe+bmgcbzzp+EA2JHd7oiNYMfYapCcyBwiqz0qAdNL7Z1SIrTU9aqqag/enBdvS6apYrTE
ar2jL5MzW9FUoEXNOk6A04/ep2Bg2yVsThG/wuBuQfK/7sDD7aBCFZBrChzP2P4fRrvtvo/YNEHW
6bJ6NsvY+6xY/CO/JxQBz7Za9SgX6hY1ZzL5GikceMUeB+AWswfGkBaXG0nksdKPkoUGFZRub19M
dJK3eYZ11MKufMMSrCcC5WZ7k83MVNsKDzDc0HqAD1bYNgjmcjDEsvWQtygwqUBrbsbewsuT1Pgm
qx5E9GamiwTvnyWSD7MOmFmzhpKO3VRgkSaOBarHcyz3DaxKXvMMTi0GsbA2rqQUJSVo1aiWrQFC
R5yDcZY1/RiUYZ4aSNMRYFz1qtTA2A2mWPILFKXTbkzdV/sO4fFTDIrTVO60dyW23K/UsvRzqFyT
wWome7eZeHlftfAzm41oJ72LySa9VLLGTLGgrTDX04mGyNAxMJiLcl9SPMsvXdcWcJCWMOOgujjN
g+XhztvxL9Av4zSUdzV26/vCYizcxzMhyzQb5EGYOvmW00+BymK7mR8A61KaZjmUh1c1YKy+8qzJ
MiKGA8PaM/nN9tFwxvzDlSODY9gUiThbDEKMe71Z851ZIylHdiQQ9kZGUBodZ8xITt6N9LpJDG60
QiEBk72WL8rjCE4gYtJvuTcElzwLQzJxIfa83cj7sOWCnTl84DqYyL/3UI4PU9X04C+mXLS7oauS
Yms2BiZ66qouiFn2vZJT8FzkkrGZMvQxMnCSVVFIXuAuzlHCHnTSNQzCtHBlnSfuLChJlEfQYXEo
YQJWZKGC+g1manH2fYN4rNVQngC7y99adUXikHMbRpR4xhFp6rWfGEL1Lqwb7y1MciugaxoMOctR
A39UO6qQggXiXnuvs/sToZoh3zfgVPYmPRQDi3tDzNTaDMkDO0vCrl2ah99M0H+vuLmDT28MnLM/
jRhoTIO/PKcKN3Ka4FWNgN+iRmA+mQfL+fDdzDNvSVY1HtrFVCabUJfqtqsXAiGFUs5VPzoY3pdy
jHMWuq365tKd95nmCRbV0p+D8tDzHMj3drEocSRlOrsEP01+cox6p0jCFSgiXZvQddhkPtp9SgXk
GGk8BVC9XJWYO7yystqA4puuZ6pJCQMRfBqiMGDW2TAJcZun5jCTtiZyAySVC/ajcYwM7mprkFsN
0/JrJqK/z+mmu9Tc4dg2TJl+hy/X3Ph+6x60aS5k12nw2NixcL73cN5ug9n3HPqIvay/SVQzvhtL
LTC6k7IH+BdeAk6Wz1xRZFKrkKuy7pdmz8tkfiMwXd7g0zQnBM7O8eGDJPYB4aQOVzX+e96jtvmJ
7PCVztiGUs3oRUmQkudqsEbvkpTe8sjDxq2e0PjjjyA3ghuy4zU/wO/6K5m0xbcMoj0rlSHwCR6U
lfHamVrdEGs2f6opRQEL8hZfYUdZub/h/r6Ypt18YXAKBc/2zMZyZfF0fHG0kQ8bRSGlQbiahhLa
53puM+j31FYPNYLWde/Pw9GPG/cpiK3S2loTwNRKcac4Ug71TuZNehZu9p4MFm0UZWZvBrtVH5jC
20c1jQ57Y84pYLSMR4fHWcXYjqhIv9GC+JmEpb2j/G38QDPB0pRpUd+FhcHCYGROBUU8uCefLei3
gZAVRT4Aa3dWK5qaaPHgZI+mU5FmIXmQvXSwOtdwRVDiHg3FqdA25SHQ/rCw25Npfam49W/RzsS7
YYzVnU3IdS86rV7KhATcXZUORPYHO3E9vFFT/Z6XlYah7GmBWaGFpIx8FUHxb4IdiPOQk9BYTv5T
glXlp/Yzm6VAVXXggPH64naTfbpaB+leNKpmIGQZuyMReb/aAZrl1OnibqQRbInvVA/omNI/MMPb
YPB5ajmGxdqJbhJe3EUMq9QkIkNDTkSyZnosQl+fCb/ax0SNKVvalV9u0THUsvshnjCoNwyAU0ys
pDHwujrkXzfrfUi+rPTrizv24haswgO+fb0lk/ZK9Rc3ZrKixnOOLE3mxudMEDslNep86TTHEJuG
ASQ7FJJhbPG2zxmBjYEq8s7/4ersc0gcAwQhycMhTvCJKJnhSXMT7bwORQZdjTIjrtrUlSE6ZONM
4uRwBKfuBG21PU1OjDaIZoi1QxieO8JFmLHkJchoy16j+eqNToMvyrgb0MPWYL2kWMeWTWsOmXuc
ijLQN0gW9VfMwg01ZGTUcdKyGrbs7RoQ8/RFE2nNj0WSGzt77LCXpOV45sgVbCnowNBSiiw/NUNp
7tI89x8K1yopMYrB2I4h2YIgs38Gq9GyDITc6mWWn0ZHX1CxeE62nUx02Y3jxt4Nth6E+3CqoSDS
iQBaoYfWf5nzxjCecW+VFD1NY0bTELJWvbW7bFxuunWRtqu4YJJt1aKErHEoYe3GPtGnNjNIcFur
KldikEC8spRADUiL/BQuQv4IuphIpldOXDvYdk8Vnj4R8UQYgW1qM7hdlhJk20I45npaWhwWg82Z
dLBU+lm1UoAu7kmOxkibHH4Hj0ElbOZ30/aHfDuj3FMSjT7O0wId0z/UnlVlm8FESjolnFEP1ewi
mRZ8ytdWH9iCUL7wV/amd1VgMos4UAeYJT1bvjBEsW4sgCx9l93cf1PNkF6V8ElTSowCmIK8lPRN
0ofoKGXYm3jtyVBYuNKt/Fb5MOc2wnOHbesZ6bK1iqH3LmMCatPtrQAVmYcdUfZ+ffuxlMLzpvE4
0TxEnYFbcptGOgyCbeVCN51Abb0IFBgfVSBrToHh+99IryhsOFbaQWhoE2Di7C/XEBN/5SVr/Dm7
hTCbXOtc9ioS+Eo/XC/s7u228gj597SYxbY3EJgdF8gmlbK5TmCz8zuTwTP3o8y3fTCxJB9S1m0G
g+m9m7jTGWso3N84tZa1hXRxX4qJqZhHRjq3bJvqotsFqRNUr3jOmx92X4EMLxCS+E+oCOl3OZTh
9hCrofxgUIgfaPFl8RjQfU2Ne0f5HrdNmFS0YGY+BV4duJwND+h52BIyH16K2LHYKPGOvlXNHJ8J
ONGXYZX9j0q51sNUUGW+tdqwvE8XbTzbHXAUe9SALccw/EH6x3yejWA6B65rvM3UioLb6fLlfmpy
9cbzl3HB6QbbiapAEtmoV7F/gvh+Mutkfm2ymY2D4h3z6jkEJsj+ULfFQ8DMi0MzZD5hhlCUYBwE
CiSTslk4J9MomWIkUlRPQJ2dnefDCMGsn4pTJm2v3HdmQXMN/errjjdNu/kQizTJrpbBK86ucmb4
UI6FfTHLS7KUKizDnyMW1e+yD4JuJbTX9k5ylnoB2ZamEQsM3VsHkw3g2ovap84VVgX2rsLIWyrP
wGwQ/rTqJjQ+ml76xzm3yxWvT1dgDhoEsLyOlpHjzhYDRhN86/RkBQ9uw1xyCLnSqMegh9alByNW
H/Tbb9aSw3w/DSR56B/2d4ntNMZB1453EtxPXJgLi5BLypaDFYhwRnHDCp2BlfA14lPgPlFl0S1X
RTzTQhEyE9wBv1lq8hxLmNgXSOcGcWp6tWh2CxK1g3tg0kIlqhHT9abEskFEuwaJ0l2nS8N41NIu
7WxtC/f7zUDRe3zlWnJMbwNQC6zHsziejrnMBgqD3Pqe7XZn4KNgJoEUSqnvgQ4tV+ylXtLs5IKY
z79lSdtXR1bqmHPbIpjle7UA7Q0JTnoYYInsv8PereONrxPLZ0gCUpPwvU8sxtEHJWNmT69BZNkY
4VP4xbb5LrwRdY70KtW4XQwGLs7cObzw+u6mYxFY6sqZCYPtbFcCkDft4jAgxLuMgZ5+TOuhqk5z
5uXmPu1bimdriN75deP4kx8tgJSGHQkSuQdrPxrbIZm8w4zBOL4SPYQl0F4B7y6wI358VWNI7TD2
DjZuMd4MVbEzDK+Ub3r1erednqvrklonH5MHPg0EdFTD9gq7OHV9rHhW4c6t/PSFl5Qn17bmmjHH
nKbLSMicFVWW0YX4jLPYyT8JQozNfaKGeVt77Yr776AIbkzpjXd5F2LiZ7ijU4xaJ38r+XWAuGMS
o2EuYWN+Tg1nKXe0CPq0hhr+sPftnurgJeiNMxuLtzA3YiZyctF3KYCU7xXNeu9kB0JgyuZyl8M6
z8fOVNs+g7nI4xudf00eUO2pvZatR6y6s81KquCKMuKfS8asdyIhzckIiQEfz1Cm8/c56YVAn7MS
BlZzBEDdjeoR1hZEd48gIsfLuTqNojMcGpjLB5WAz9rWoSzOieaOZWqJs24bB1CESWkn46f0AwWJ
xAwo82i8HjrRzFEYwJXsUYjBAyQvkmY1vo9gySHhsr66nclI29ehWRNb40+TW3fq0SRwTakoZUNV
qq2Ipcm6Pge83PHoh5DT2fIZUDcnpiJv+4/K8OqTAfc1Kj0/vvhtKdfirMXyNvSz0miwVK64BYYh
HrqscQ4UtFegbWZz+RQWH4c3eSvuSA9PfPLh0QkTyryHxsdGMi3y1Jq1/kikmbzAURheZ3xR+cEi
qHFFxZRPOUg4W5EKEHmTYiSIX7AyAkDXQNPDnO22MNu73ChvQqUwlSwiqMK9wS8GfL8Iz4G34EWn
BgptqcbB1W1bDvtb2cdetx3cjA0ctR/muJ1UEPPE7kJv939X3Vxl1H93J+Jg/F1W3X4MH3/6H7tf
iNZ70o7zww/JFvCXkxEv5Ppf/nf/n//0478FerU9D6XxP/cQPn1UWflPNx9f6o/KJd7j9Y/97iM0
fxOojH4APhSR+w+cV9/7DfXZDj2W73hpf4mav0uXlvjNCaG8mqub1LeDlfn5u48w+A3ghM2fckhc
uVAlvf+JdPlXoy0e95WPCVWUn8aGanUZ/kF+7zsRKE9DcOexfmfFNKcVRvdOLDGJeiZIYyiuHJ7+
2IVIBf3hk/oP1g2e+KuFkSW177Ec4jOhnohf9M8/HGEJTAC32Y7KzOUYDxiCjIF6+x7eymZQ9K8v
ZW5feGSmB4WVHWeIBbtkhitCmAFTYzqQzduErJpvRpcNml60C0BnXU+5mbjqeu79rJfhtchksFX9
jFkrZrk6Q12n66pv/XvGbre4btftLF6kJ4GyEfmJzV/oL4TpFl75t05jQY5XnrxmdIWTkBVD1BAK
2cNNasly0whx41Pw82SZHbNLW4nlvp95X9uBNJ58XDsAaJrwdhI4YHygvphdVsnMMObnPOucXecD
t7NyvcA689SBR4p7DtEIDiuk/rQ4qOKR7oGrbdbla3F0/M6++KxZJYG7TE0nmkEbce6Y40Bp+8Cc
kowZtqemgQq+dA7eg5U1gEza2g9IN0kbySqEqj8YfGqkGY/AX+VlIKrP6axLq3sae0ZqGmbzDSVF
cipyjXqOTEYRuhbsafo2JQmwI2bI6rEW8lV1hrujh5XYhz2cg9o5w/5ojwl4ouPYBxCvO+PdU2ZI
q72jPajobJZLJRXwLghC2Zklox6OS6X1jUIc4ssqivPITvFQsmk82AFVQ1HeBc2lZrF6SkuNgjGm
Ex2bTX7gpJ1ss57Tp5Qo1Ivi65akND7K2jOhS7SAokK/0ofCCG+ruZsuqOvJviCFei0Mhlbbd2kw
pioA1pkMjhZh1V3IneNu9aCsy5xNaYsAW2GGy6eYFJ1R8vX3oEhCbKunxGcPXhsw3kYqcrbeoOSr
l1jBq18U5nVLjLrXiXsOrE5s5Hqd49osI6Zy51rMffg0YgaF/aGG7SShFAlTSwSKEJto0qUa3GMg
n3x7KcM1elc8Bgnuu+3oehTWRXNoSJp/m44UObji6T0PlLD2Lcwjk4/YJHNZSOoNdqk1uSR2lqVC
NJlsZ9xjy1xugtoXn7UTDw+mqJlCfAyyh7kO5kcyIv6PhRPVoz/J8HkVtTtqh5Xxnme2vmSqcp5A
uuK3043ufLaFNBDuiG5TLg3FIZ72lmEAwwrdnGZFmDwJLyjMVCdsBtNnO2tIPWNu25e8t3rrnR04
Xey+O0cEJAL6fRYv/5S6L++mKi+2dMwQ9aPYHOZDd5I1SkJQTj+Xddquej3R1yHET0Sb9ivDgXqc
Eze7pjQyPS09NigrbtHYk06MNx7Uh7PpZrxSlbaGZ2+yw+95LOITMT30fZcRoGbjyNZbVi5OkQ7M
ZGZJeb1QvLFj5Q8OBa4lSKbJujGbBTrkMtZ7NTXZTxjO1m6CS/dQG2PwSIzY+qiSxbuDTKYOcRrz
EepAPnOOaw7lSGH4gKPlG3TR7qWBXvLMqtQ5pRLdu+UVHm/dYixY6KhiOrRSYvJGp9AyyvAE9t/R
8OrknIo+AU6Xl4HzbDdZM+FbHeJv4M4OMUehn3EsPP/ozKZaCH27zXJkqbzQsZPl8w6HyT4AmEDx
FxNtsM1VT2oiMTuOHa6mcV5aRthvNeHLD6402Bg1oBseSH4IRM3IeBpjCcbmlxI6z/d+i0VjK1Zf
ofJJR1+Gdq6uFjFbTOBOwTElIK91irvAencpN0ZRW8ZTRxP1qxR2H29zY5zoB66nDGZaPHLbYMuI
P5iZUUjjIZzOWDWmF1DBg3+KOVXETHnFcm9heEL0FSnWGro3P+pctzdDn0r7KoVauBuN+W3Gl2Zv
Z0L4h3osjcdaifYHVV3jCUJpupt8e1Q7UylMWjO2uY7at6r+xsW/JLtqGXUSIXiE4lDEA7sjsnXI
pSBLvSki6jjISA0dTlhnaq033Y5ilQ0Ka7WR1M7GU93wZtSTdHY+pUuvkETMbx2B9cjsFvt7pgY7
Es4SbmHL9Xs6o+TthML+JcXS3Ji0/+QH4Q4waywP2kRULqvjMuHcFvGfZWcUZKS0pPXFUzzjn2LY
5qbfNM7QcbDt+Qdgki/YM6YLauNkYUSlpy2vjE0hi7blmUkeZ5Muc1YecCzDIYsTV1F66olF7wP0
DeNQcQrG6LK+d7DENS+8emJK0RDgVNTosX0usmE5F30e7vnK6mgCtbF3ilKDYoNZQbSKEiKz8wdQ
sCMGjTIVBrzLpqrvGMmxTTvcDq1BqIoGVPdO0qGWkl/wxW0+jt4No3ofJZ1dX6q5R7xAfDnT8jwd
0gLFBwOyl9cRqE+iomEr0gfDIlmE2LfI1aw/meuNDlsP75i9S8ww+ILsznWrwM5hPS9C+bOngAv5
rUApNAcN1MLkoBGRf0i/ER93toHZDPdGgbtp8PRdSh7hgSa75MUa3HzT2LMfAb5hPdamNhpIXREi
hXh4gW6T3sJ55La1PcN5JrExfgfhUnDPZL2PdSiZ4SmmdLLhQxMmcUu3vw6W9II9c4dkwQtZdTQs
mU3LBGGnT6POp5v/xd6Z7saNbF32VfoFWCCDDAb5N+dJqVmW/IeQZJkzGZyHp++VvvVd2KqvbVyg
0egGulBAFWBLmUkmI06cs/fa/az54cip0rMoDYuxYmafndFye9hdRnw3tkQx0RA0j1FA5kueI9BB
5sowj2C9i6COmmwTmyGQBtt+Jy1KrjjCXKcT1Nj8krLkJJrX4wcvkLBcHdoSBB6yVLHMsUduUMTg
/veSwrsh8tNPFm5jkaCTCiRUnNx0eSQRzHtmlxs4yfGlog6iEPqeE+lznho9ZnsvJkvQhZpAF9JG
s0mTize0FxHAtIVA6LnAold/MHbw2q3jxe1750UoTHP8thHjXa13itnzCd1ZjxLQy8iCSrDKS5ZW
WTQLH7TvsAcWpy+BjzPVWkrQNtONqTo2U4tTn7Q8CL0qlOyHuou7L61sxJehgqikQo8j/qVUge3i
AjGgReM5MBkr032fdapuHcTVT9ZMSbms+ji96AE1KjpB9bUG91g+VmHeYEeBMQE6CITTTdXo+Zya
db+rC+X866RoCpFcI0PznscmrQETWB2t+dRzRw35IMZol4Kn4OaxgOvlZQ4TL4gTrD/8VMTRhqyy
HK3YkEz30iYweEHFTuuuAPAjd+ZY1qfO8KNmPYVleYqSXH9viW9miU9wE17uC7OvABgGZ27XYRGL
+0E2p7oasuG6yB0wnjVzkwJlWt/PSCCNiRgqc/SKVYLWGPvBNHOBktSPUSpTEMuNRKV430OlNQ6k
eDIdTHoh+oPvVr23sayUoqPM/EPXq8yj7DFHKmA3wIk9OSnQjsRvqNaEh/5nEF9UZLr0Gf2kP1hO
bR8xDo+nmUUnZUlP1SMKgb44jvBdKrh/QzXQlEP3gQffrylZ9aiPxICi4kVvOxJzOtNQhb5eM/UH
JIMdmZNDjxzMZTjNPfHrQzQFUKyyPnmqgb3FpzlqUVbKdgj3WYkiKaor48O0koBGnYWuw2RX2U8j
h/Rl6UXJM6NZPEm0S9ov3G195Vgz8Utzbrd7yWK+C5pMHGcHbYQvg/YE3SGLSdO7HN356OuJN9Ex
XHXGs+5lhts8CkFJJ5RHHTSPSj7gXWEa+4fzmHURPP0siOKU6ZsWll9EYMB+PpueGXwT8Bo77Rq3
fcZsJXwr4uKeBtKz7ef3OADYWFVET6GJvzZEZ9/+/jyIUOcfL++apkf8B8Y6nHe/ngahZYs8HYx2
TXpatTBmXZy4+Nnx96/y40T7+VP64nLiNHkd6X86dE7N3Auyq9EZhAyTur7ThO8atuHtnOhi8097
jXFJ+KS2FWxPkOcGEGALi/nhM9YOuZ+Moju5Om/vUgSSV5dLtnTRH2EX0dMzQhS9jC8dUEzHiWpv
aNCWwebHh/j/QrI/CMksF8cjGVe/FZM9fGSvJO8Urz+3ZH76yb/bMtZf9GldGywav48+Oc2JfynK
lCJjh6YpDZsfDk5BK+e/2jL+X1QMiLykI4UHG/4neyehPXg60RF62AFM6f5nbRmfF/nlaXCltC2X
NB8Lj6ntiE9iTGJ24sZOBlhFZnvn0nnf5S0gk5KabOMb+fCReFOBahwqICLmaanGrNn0kWvv2Cns
jV8iAl73fC+R5XPuu23oVG+sOSj2LUEP9BmY2wGXdq9scr/29CvLTUsv+VstgnIzZ2Oi+JW6fWvi
wGyuQMUBp6jH2H3mzBk9tbporqoSOCYW0Jbs5LrDz6HG2dvHwwDUmtOuT/Z6YqLrDgfYp51j9JD5
h/eA3FSWOO9ISdk/u6QcQirTAmuQ5cYzexw0rxoAAu16tlgSKp16z6E4ecSx5OD4rtyB4Vg2YhjD
K2AAS2FOdp2OjlMuE8fSiJcNX151gRcXSEaUfIRb07/4pjcT0Kbidq/9JHhgEk3mjMAXNi1QA0Xn
Cf8R6iBjxMXSRnZ8Demgf6oLEo/WGFFNvP+cH/thOltInXYcB4f30sxzWuoZ61WTNc11m45GtBoK
MoenzJLAjQb71Nq28RClynw2yoIuGiPMfj9V/XDbk8+4ru0w/OZNmI6gno+XN57hrEp5711ES6L0
yOjDZnsyyX/ncD5mxZvbabnH9kOJRLUkeJP40Rco3sttaibWNeoDiu9UTdMqKNFsc+Ky2yVaCTAc
1F/ME60aeHLgrfpmOJAlY65FJ4jEDoforhtjYzHgvLMukW6U2oZMAkKw5+E1jKrkMExqgN122yXB
wvU4FLh576zDTKlVVPurfmwoXXDiMUar3Z3CmPekm7JFoW1URwsu3p1hqJzB4lhdwxgIt2UONtpo
Sc+N/NRcZx7+JrfLzSN3NNgLo6kgqaXm12qe50PkhMENoXTJ1ZTwRa3LQb21aTFuTHts9mmJBD8v
vIeK1JjBxzwZJF10QwDbQK1b60fUKMEm7DznNbYu+AcTuHjIGGjjUuVA7mm+mKZ+yaMYaLiiOOI2
PTV+jzaw6Fr8IKRNxvc5iST1mNxoQb8+kgdXb0I1U3YU2bDoRkRVVae7nSxarZfUdqla6CaMH3gO
sE3iebrzU+kWO04YySFjtPLcKNN7YB5f4tayLdvb8pdiZPDjBSQT19l0zwS32qV8p84ml49OZ4ug
jv5UvM99G09AXrrOUwEo/ixzz95Z9UVOBICMDFA1xN/NPtObGksLTLExaN5QIlF9dJ3nPyjsxziP
YhYKNF/1xXTkTjcRCKVbDhYuqJvARJQze+GNHquQ0zO9q7vR80DWDNh31nSw+5cLKvAcx85wmMxC
nhEHciAb7H7mN2UV4ZmddeeLSu28GUYvXkjZP3j+KB67XA07gHbTm5/F+cPUirLeCUAwb3y/4++R
29s2NjSrYqw3iejVCjJgyRUKVUQwkVLXCXmk68kk2mBhJ7ldbdIyqbag85CvXUSnWw1M7xrxhf3Q
o7E9BLUU92ne2KfaQJi34KK4NxGm0Hwl3MpamzXqmG1nduH1PCTWLZoO0CtD3J7aSOfvCV9h7mpg
iyc6de0pSwGTBjDXdnj1L2nkmXcuihxZAL6UIidyIzCPLtr9HQfV8IgPJTlZXkqINLN3a6JHa1kP
IJYvUS5uZqx5ftVZpW1+i3PSvHOgn2sEQ7gRD1TD6jHMchONE2yr92G+2C1z5F/K1Em1rCX5mJ13
SJjZ8swn6AiQAvaI3owy3cb5UDXrNPaiA8zxaDf4xdlMaowrliGNlbbHZBH5rbUbPSu/dRPw65IH
d93g3N0SO0iUxjAX9w3wOARTONes2L/ukzi8IrfHe09tP74awiDdWKKcab23/TF0c0HmqzTf0hlq
ZN9LDJFFABo5l+rI6Z57KEL3FMCUpCOc0ERQTXEsJlI8abBjRoGK9WY1GMAyy6h3tlO4X4yo2rhe
9wUMp97y6Ed7K3XXUSWilZGk/Teg+R8JnMK12xjQeTMrXvYlnXNSI7EJO9VWdhK+pBVfC8NRKzRA
xq1lFEz/57DYh0ZwMMMaWVnpjua6zYzpeSILIoIXFda3InBsIoGBSa9rR+CMyCChqhEzOAcb4EnP
mTmJfaZbeJN1/HZpZWUHjsNgdjSK6RWZUfT1aMONmzZw+jurd5Ir2AKaBotuz7UQR+XJr92od3QP
oIYQAr2gbdChBMcj7pXiZDnQqAA1eUACXPi1pCb4pCKUqkuOwi48NBbopYloIUhqG0cm/9uVTr6t
7ORQ4zfFmi+nalrNESX4yvJACSKCHjRt+uw1nzKEGcwgXuxMNz4Clym+Sqa2hyVtVeaysI3qrmrB
xM3V4HEwdDzqhH7sjnkUpjm6NzykDTZoXMGG/ZGTvhmv2eIl1jndRhQzRpjhzyfACad6wz4AkADf
/ySaolky7XHfi7LprpXbDte4fUAnFoQcq4FNjMCgCSqzuCpL75qPRV5EKKfkwW5wgy4Dvx3KpRUM
41MQRN98vu4vs3RXlD1XMvK6TdpUySsLYnUXu5yfS+b09o9JEx+qrC5QBHFLi3N+IfkQvLXKxkNi
E32BanMmN2qAcUYgEv5ML5VvjUiDr8xyq0VowcYAwuviPjXUprZ1/ViqvtghtVpn9HwOTLC7G/LD
wqdUor4HcSq/k/GYPaPn0RsBFLdA6lfk8S5jALODZ33BrDKZINuAGfZCwkO/YQ/Ao56l/Rl1Bn5c
CrKnGFXmYQSmdagYj6zQ65t7ncuWDUnJEw3pUizRaHn7qOZaSdqK76KS5s4L22ZFhkuwafKKeXlu
yW0ayS0pA4+Ti/WFcfFKSfKttV2vRIPp2hwCLKaoIyBGdOtuqD9sZ6CeK/kqohZAh8IxmIV4lbcA
zlGprFC73Bp2ZR841Tr7VE9yF+dB+SpZz5aNQ0khm5whPJCijW7jkh1GtJjqPO+WBCLrFAaEA6N2
C64KepVQNwKcZFlB2GqALSy2xTnsu6MQ03fLIv2UOQLhRTQQXUmscrN28NanC0GpdfbT0tkAvKqO
7RwS2DNzYG8GdhW/tvqHFtDHIzwSkvPisd8M1ng2Q4bliujHFblrCZMMcHfNENprkPku/TTtb2yW
smhp2+MLP9Sf4lzNb7U3o9lPzGTjRGFxMkGhfuF6e7TR3A4mk9ax2hDW7axliM+MdJ3ooAKlbjWK
90XAgPOIACS9FoAqzhgCglsTQfopR0x2AjKQYkbTqQQ/DxGF0UBUnziH5LdAJeXHjJwfA0JQXNuj
sACeC/fQ1Zn8IMjcv3IhbS6YYMX3dl1VR0kuKZ0G3OAvhpW3Vyyb2R5LHmiGSr0jU/V3qkiyVegk
3bl1LO8FMXC7LpKioPnMRk9dZCf6Sk8VItw6tmN43CEQ3EjqidUDoWk4j8Uma8pu59fK3RtSTXdB
kjQzgWTdAQ15sCoMIkTsMZ2eBrsprsc8ei6RXdyYgU6RoHnVDjRuDO3e3hKRntK9SqqNil1rzbCH
pnNkledaJex0OgixOyO/LHCaIQtzYxADqfxicpThMnvYszsWPOrH8jlibPQV0ml6sMKCL3DdOEjE
Edgs5rDryAGKw+g2FAyA8s5FX6Xn8T2YsnTpxux7AQndKzyZ/aZR7OOjUuGxVNWj2/bhFw9u8xKk
2mVS3L/Udbifw3TLmFXvrTx7ZSrW37CjjnR3KXlXJn5yBDPGyjQnveKYBadcD+/4Mjvk5Do/YDDF
bU3je29LyzrAD8jWYBhNMpiQGQ+Rt/RNzC04mxNk19+G3sSbiZVtn1yQ55SwEKuHrH6f8G4cs95l
QuSAvtyIAU1akA/mmpl0ucEmwOVzBufakB7ztyitb1DSFeAPS/1m8oU5k+3RI3RpBwLVE5DRVkM5
UfkGCI6pvYKPjQkgjKf7IIgb6oUke00tf+ajMNrPizl65zAm9j2azxXiIeKuULY9GsY83KX9jAQT
fqn1AhfO+JrT+drAZNQ7Jk8/HCGZ9pfzmHPoAT90U+MawhLerBoPuxKaWT/deHqi737hicyc5PoY
1jr3SyLNfsaQNPDNQvBVMnhhbtUx7UUYWLGllFjfUYljlI297z4Ff9/6p5HoOIyWIE76guARBKiU
p+YhdUk8yFX+UQ3jbgj9B48uNEkZfXyDM4UJSlZMu8ZT4WZy6gqxU9nuGd+3L5VZ9q9zj3TNV4EL
pFX4QFfK4N2gZsL22xU0oGsJM8wNHSYdvbrCdqpPbuvkL8oLOmojKfeQ/qotknBAjP40GuglyC+C
KC1HaC2WwXilKFjiqxgym7AjrBYDZEtKfSKNgjrx3kk8dB2avBKAeRaor75ruGphmF76pCmR1tqf
/HM7zNlzNfbxdgJwuwP2O766RZSzd4AoR4k4YVVyivkW/EZ/SOU83hpNwwRAojdd4owTeNrVvJ/p
VNz5uC1ewymIt2496GfN/nbBRdh7NTn5miw95huo7BD+ttpdd61FWnxQlbetbF2Cssu+/jDnsH8g
XGJQi6Z3mitX4nDB0kDqBx4V7wXZBZzyRnyP08I/oBi9wHUJgbjxiEoi+cGOn1g40BWaEKlWBGJ0
V6OaxaEOhNgY05Q/dzKlcp0VJike90XUZuU5qHt5zuoaGf7ckNlQRoBJFw6gpJtUtfqa4horPLru
6RJiyVJTsYnehSVik0UcyWyvXeKCMcvV94mmhiWgJ813xL85K59TzIlEOIYFWdE8uibUjfIiaJ6a
9CJaRSYR1AECRn/uMUAXrljIZpgPOeXZoSIA/RmVcv/gU4XedmJgN5kT+ykXY3zweyt5C1XHXkSa
y1nOUiPH02Z4qp3EuiqavlpEFkEdMsnk3tQ98ouZsWO5LBNXvvaOEWlsU7b5mrtWSnKtmscvTooI
ZiHoSdN4aIFurEMfSJQxNxY8X4bvCxQn82ZinHnFPq5fojHQT72q5HrWDgcDr22wtovyGvOe9whB
Rx28WjLp6npGTYbIz0xQKbESkrQqhAdx/2yp1l0Bq4iuA2cU27qxZuZjQ+q+zFZgUDSYGOm1lx2N
VFJ1xgk4SaNzgJxWQYKo0SUHYvJe9UAHJEqM7UzTagOplF+SkO0pmFT0F1xV4LG60m5Om2Vx6T1Y
OXfJapFV1AYmRjszq0OZNh0IHvTHb4bD+WKcE8olP4UGhUykAn5hW5osq5hmL5+a8tZAjxoHSXYV
O5I3K8ZiKUcHq9j/2f7v/4VSO0v5lxDo/7XU7vSaguv7Nnx86F8au//6ub9dws5flqChjnvdplMM
RPPfTV3xl2laJvQ96uO/aX7/1dS1/mLcQ+cWH7iNV/iSuktlcmH2YTpGrUEWOxGeSoAD/I+YfZ/0
bhdzPaQApUzLpbFrWv4nr7sEqwZyvnA4lBC9lCMi5wx1CvP6KwfqYeEoc4Xf8YKWQCiCvJtNzHyC
EGKeyqZnqpS8dBqDaj1P2zHqux1igxu4yYqhshWv8B3Gq0oT0lTL7Ln1GqTE7IEDpGe/nw60aQRd
LEgnTPKXYkiuf7obN/+aoPxMD/jVTv/jw4Ghs+SFRwgP4WL4/llJiGcxaueJk+iYJyuLLnUafC9q
fWO6f0Kkfn4lZkOWdAmQsvjXcT5PcEKjtlSf5w4Kr5IggoKegkGmHulNOlz9/kPZn/WRruMqx3L4
D0WW415mAT9/qsmNh9wYcBsUbv+u8E8BYy++EC1FTAYJdEFfhqiFe7yolatXqu9wULuABFRYRVCr
ByRtHZK8WL3wtx5oDF1RA8wrVFzPoTEcqXhfWVgcqVn03PKtHmnlI10g5bGoGP6H7O8yHkDDmweo
Rc3eRjyNqSsd19D1hxVz/Ve3n1+qKv5qw8NaZKkpl7+/Btblzv08MePDI3Qz5UXVSnf/s0YUgXnU
TzZJAqXnbSN80VYORUZHLSz5YOuXz5hpXg1GZyICL4UuCbFF/i0zoo/fv5F/jO5cB16MzaGNzgTj
F+uiJ/1JrEouD0qpUJJN0V6SXatqAhqinlHDIU+ysvcM5y7Wj0WcZUe0gA+lnOixQ2ujQ5oBkhS3
dseuPMarUVZbJ1SvcxJ+zSeLgYe8+8Ob/TxNBaDBjNFzyIVEp8sS8uubpRfrGWk7Rmtcq8lSghXi
FP0AM/K+MtwrjrwPxCrtE9/dzeTzxpX5ZESUc51jLyIoG/WcANJH7NFaNo0RzIyoUwddO3+a+n6+
u7xPxr0CWQyPkmSl+/V9ypDRexwrY8Ws9V4TqLwZ8pydfRivB3ZYUOFQIBNwwg5F6SKt5684VO4R
zqw7XAO/v2ifCSSf3ov3CclhuiBOMpUFq6CggaVhHvkWDElQdJ7Ykoj7h5f7sSb9/M2+vB4jZ1AQ
3ClFRPmvn53ebOrBNfFXdou8ogsJS/FaRlr5wLfCuSfHQCCN47BGBzFaVrmKb9xo2jtm9FVNdBAS
gp3XITg9HITFc9BJBIP+Jk+aB8Jd0qOIiArqAn/cBDK+BXXUrdoEMJw9n6iMnF1CRgq9XagONeKV
SZQIB8PuiF47wbwuySxzqhNWpxDjfoZnmpbEjmh0JHuymhcS3cBC1PQlWnu++f2N+HWJhYdyuTA0
bdBuupaCqP3rhZnoEDOz4UbM5NKiVNjQ3R8Tb5XmV79/IfHPx0ThUGJT9BxeCKX8r68kZ9zxRcAz
bSeKCJX0g4j1H75I2oG+3a2oPb8k43DvVMTZdNOdPYmXgORFrETB15r820I25AjMi8K8wPHFQ9vW
xIBm29+/T+efX81f3+cndYIZ+KjCNRFfBD2dJmvYNKlKlmaSPwds0AhKyFuMdI+K16BrmY3FVT3q
aenp6jmciXQo8fvDlmiM9ThW9s6m1r2CcESAK8UtsyIPzXblOqR31+lTB51rqav23Jd02RxNp0C3
PTw1geWs8Hlh1+yJk5unDE+vIxbGADQffQvx5qLttoVTfgE38BpEGn8Ngsyvk+yemOG4jOGi/ntO
VNZyBAu3weMTHgu3nDdplD39/pr980tEtSMdqh62aTQln57mtPUpN+zCX4UyOLdk7EkiS2Mb8rsW
m9+/1A8g+K9P8o+aQ9lS2AA6rE/79MiguWvskvmjmO1DB8RijrV91Mjwn5DpOYusqmCFTFdN+D1U
5MuWBBWg8mCDHVqm2KQouNwUWd9Y/vSHN/d5lA+3BtwzT63PQ0Wd++krniW9lUsP8maSE5sZbpQ0
jnP1+Icr8LlS4VXILmIRU7yGhV791wepFimdOzcL14lFSNKoxt3E6HoVyHY7x1G5mprubgi1fs0q
+QhM4lYyuEpMLNzKIS2rmhk3VIA21sgUbzilRacM9wehUMpZ/v6t/nfv1PUcNkW+FthYPy0u2BBB
UEtkux5khzGJ802f5GQCaLICwRou3EhtyGM5ejSEf//Kn2FTiuEJE27gIpJdGYXFr9eop3s0l2EJ
A1WrJyjXLDEwqX1oU4W46ydiCvPqDy9p/XevCWaKUHDgRSxwn+6LD7rPUalE1lsFWyJ/maXGejxo
bBorujgniADvUdo/VpHzmsTuK31wWATGG5QlJNV47M803r8nyt5bpVrGycPvL8kPzNUvTw74SOo7
ClylABj9eP8/FVVM5S0cla1BS61bxQlR5TLYBAmPyzxELmFwc3Z0+BINo/ieyOjQze7XhpTCTesG
L3U160XiOndi6L8nAH7ykQTQnnmKkcY3A8YNHSHXkLgbiFh4d9lv16oLN31o+PuSP6ZPMByS1K4W
OZaHaeyY38rmY8rNh25yXqzmMk4qNn2NcQEu2Lq/ZKf//gqoyy7/6Qq4HFvQ1UueHf9zfVvEMfI+
K8Jj2asHkctbaDt0wMHZaCSqy+xCI21kdKVHZlfMn5dZycgGaWCzbsPmrq2HOweO5NJE1470y1mO
gt58q0hgyM1nVbmMWHx8SpZdn8KmZSiLtnzFNJiJvGstVJ6eSAMcMFwGr55EnuGG3n1v+y+WiK+w
VZJkLvZ1wm6QoKwfTBcrH3xg4no06pvqXHcxsouLYzK/ztBaj0mCHjaV6Dfo7LTtyrDtECTKsG1b
96rE7gL2kxh6n6YILaF54xTQcEcb0rLBqN8c0Oi3+biarHTcRIBU7JGWHH90ACnxPtThdZk9q9lf
x+3HH27FP+6ETbnMo8nRzrSdzytD55K9rdAHrGyxrOadVLsLXRuPdvl36fe/W0H3/1Degc0h9bcN
FPw5r/X/uKlfv3000c8tlL9/8m9dnPMXrQmSN1glEY+xPP+7haL+Mn3Wa7oqyCcFYQb/1sVBWmPT
panB9Fuw9VyO0X+3UIT9F0w2k59EGmfhkxf/iV3xcxXG08kxnErMhWYBLZC38PMJsC2IeKo72W91
0vr3A46+64IGpmY0G9dvhj+T/mH6lf7DjmW5P8SvPy8SZDY49II8iXObLeRiyPz5lbsGEv8o+37r
OsR3xrUt9WsuBoYscW85HB60lUbLGAf7c4bfi8eLwLJ06anM7qDE89RuzUxbYtnUdvYS4PRGigNP
kTChKWyXXo0H3WyIkF6mOVaI3SAuTDGASAZpSENLC1GX3vRmD9XCbqe6oM9vq5ccpM7rVAr/KacU
5awp+v52gg6kV2mLHCVG5xczVwrIkewt0T0Xjoo3lE/Aa/L86JBSj1RmMw0zxuq5eMOlt4xaOJdz
aZWrJijfyVS1TvCck1v0C+oLnqxqawcG2E8SIWmxMnEtyRBzg0ejz2ISZ0Oj3NPzJfwxmD6YsqRb
mEWbAJ/XviVoG8J0dONFndr0Y07VDsR9aVjFUxwjBBw0J2BrQDsO3QMcmLib8ooWapJd1OclkXW+
7VwXeiAylsKFVmC4CoeOH6wruSk0xy3j4pAhMilhti9eOffj+fId3F7MjKIsW6D22hZBtgGpRybw
JbiI9WbrunWzbOSc8ZfI5BVEElwPdVedENy3+zmo60WAG3zTAs3FhO90S9QQKHxDUhjbIVbrlN7Y
Cih8u21l2O2F2VgbJ7YlZ0XQKgb5c2ur7roDYspLhlMkljN2z2UnC7FLEamRzh3Cqs9T+ICScxc9
vng7D7Wx7mFIwE/gLEruu+F801Yf7jqHwaEyXONMS7qgMqjiu2nOmnRVQN1ehU3HYAImdMRIPTFt
+g9elIcr1BqOfzEW4JEabKd5BZ6VctKYbe47eGEi0DrHuwKbYr3hp8i/MeBDl4g2RZKSHg0dc470
ZI6o+FYDqQDnRPjVvsVLEZqOQYdK60M05+WXnHYD1zqpkaaZcxvN61oOMfEVxCe6C6LMXZeuuVve
5AQ+XGIi5AW0RyL4SiDkOjtNOl9sEDZE0Ca3tiMJGTnezci7z6VREyJJuOSqcotZrMGA43KZqW2u
zNqGS9RUU38r4HxTMURTeCCtklkO+jn10rQeqoBAYEColF1ypIfzdjcNnrm/6EELJoNhjregFPvU
wuYJsswLMfJnzkNZ10zpPYSpZN15F6KhPTkDW5OrodjmZf/khxXeC5SYQJ/cUVwo9U49rD2JFu0w
Da31UVYE67p2bj2ldlR12za3nO/MtwJ/Q6E81Qu7qWwTCMMkjTsPCcwGVg1+qsYjlFxIUZPzCSQF
pWIGHLUTIPuYeAIs1SZ+T/6xiTKJ1V2HpGTg/eXNJpsNBinTNzdM35o8OiE/22rTcDbE2dqLvBfZ
ro98+9p1EprHDtCcNgVdiwzk5LdxuoBLztyOOfMqn412l+jqTMXQ3JDP+Q1rG/VhWQPpbrNwZ5IR
clUoxYQ55BOpKUcXeWmZRIHRbkdstUd0T2LdDmP5xjG330wQF87mlITxCrvRcAqadPye5wFoB3Ah
8dGPPAzFSeJBApwLzNsUXdJ6U6jxDpnosiMZ1Ncjtl50sg2hkCsLyq/7UZWTlTGhIWZm6RVGznNp
PLd5CDugYdrjWvIRwi6pfEXf3fq2hYonihHDInvpD1RWH9quWD8gbjhYPeBP+hi7rnrbQV6SIm0i
kCZcD3mI7KGN8hsKo6BaSruDC0+H/05lTorW0JjrdsHgiUlwiNurNfLu3Az46NcEkZf0Sdvp2qt7
grzaUhB1YY+KbxaWGVaL8M3Dj72iB+TtbA8sI5AZk6DjgasxCvHoZYDcJPeRqhmXKn5SmF9Deu4D
qjVEeLsuE/klEugAokNdaeFSt7vyO7tTfIZ3o7dZXYX4tfimNPvETselDsDfrUnDAXwSN6FVrIyp
qr/FBiQsfIK1eVIuqRYgVxjWraOadAMUjD1opai/i6cw/dLGWGoyZXsfZmR1WwaxdIkZ+sRbie2n
32mNqnPd971H0lqaPynu07IfrXrHSLr4xuHVuWnGKnibyLFx7psqZ5lt5yJqV2WLIxohrFsnK011
wMgPNd4a+/aMJX+2oaKabxpjK5BlgL4E1vZHFfursS6eDeB2+TIaGwHzqklttcKvaVvoITtk246m
z4yjMW4fBnxrF5lf4pxVo+BvTm4NHb8fqpvJK24DG/l3hM9w1ejcuMlaJziPjAb4pcijPWdjwhQB
FHlBH1YhRLBwnwNLWQ+eUx8T2FaGrHvyL2JCF1V05ffmt0qN7xPrO/p2Ralgimkfzz4BQpBJdgbm
faYbwFaEyE5MPEcsmrXcej0Tj4AkWRR8ITc5Gp1jIsOn0MaIW7UDX4BgYHmGvURrw2mIkzDm6C6n
G7Uuk3hjDME6Zsi7aadOnCLY4CsO+pT9hoq/jSGBReSptVdZQz5FbFhiUY4jzOwGLE7YBPVWk1W5
4g4Na2pBe9lYhcnpY34MMhTjwMz1One5sFlVBFel10Ovb/TjICNg1yVBca0vu0upoTg21u225OS1
ZQXyjqHUkGjT2l2bnUhXEmjSDigAVPKEjCFj4vHNhXM9ct+RtYALEnU/OlsjJWMmHVW4rQkfWNh2
jQOxYfx6pFxoXmLvclMjRBQbIHfNjRtr4uOx98O4K4LhBapvdqfa2TyafpZ+b0aJWoktZ2/1/vAl
0RnBbGIsEYZJs4TxCrFmFSoz+G5Gc7dz5eShnc6EXrHNBluj9yTSwtiKbjjgsnOmYW8ekHbAnRGJ
/eqjyz71phivkQWl8MR04cdcb9RaoZ/jfuzphBxINYjvQ9+SR9PrrQfgX8FH1uAwRw/o5Vt0wXHK
wmQF+6Q15SHkUptoZBJ/HdpGjLqXIPEFjtIebT0Kj21uCuvJJrNuAU6ov/gQR38ZiSz8hjLa7Jlf
+arkJhT5DXZN4wEQc7KLo2Y6ksoxbwtz6p/pAORHVFQF+HnKh/NUFM1GNB0artY0U4iZkT0/pMk0
fZA0zARQo3G+qyHl3vlRqREUxC6QgjzoAAEItSETr3nyptI8B1FRHCIsZ9sJ0B+iC/wFAHlqN3yO
ncpZ5bmZHeVojA/9kDu7voj7W8PHStcKN7ixm9K7AixmHQnWUM8GUD1yvqvy2XaCfVNacuG24bn2
EhcYR2jM6+p/sncmy3UjaZZ+lbbaIwyjA1j0ou488JK8JEVS3MAoUXTMkzvGp+8PiqhKRWRWlqVZ
b8qsNmGhCFGkSMD9H875juH1gufMLajcY7TTnHjWSthzQuyAw97Nb1vUQpiQVkMEQd9v6CxWHbKt
HCMN2a+rzIuKW8bB8Z4YyWZl9+Ui+5pw6WhjPmJ/z0jjLq0vjuj7bFW1GkN2NAi5nQ07te65Irjf
yCroJw4w/MmFgj2SYx/BMVGGOyamQCWIOUV25aZrPw8ZC9XWFiA/qeZBOe3tPhU7sL/xB0VLviXj
d8kVg1ZP6Ow4lQTDD+2xbnr1lZd2fjBI21ojFSrhuvNJAsO0tykq1i0LBAkV1ZH31djat4My+/G9
cuyxuYJmaPJHg4ACf6NRmUR0IjR4a0TQ6bAiU2iMSGnuwSz5HQwRjCC9sffA9j8U7iCfxtpKPmck
i3t0RxAQ58GV+w4dzrWebOsr4b3uUzcOJH9MrR2+drMMZ7K3cBvKwog/xkGkJ0O4zjuzbS1XfpMk
/DhqMT6YFKg/WgeFuRwqlDJFMjYPU8vwVswsEijYlMWp5ulG7psx48huldNhHy3M94xR5hcGg6J9
CrC16tuoalxnO6f4QLeWAhEgC9B8PenopDN6ErdlWEgf3lxnTcmxtngINx0K8ZS6XbVbXUyMb/KM
t9ed0sDaVNyH58pipwc+sKnhIvoxdiADzXJj1L7F++7bE8i7Wh6bqnPIgRziPUnF9XMd2t07hL5i
3bh189B67jUx4Gri6trUKgjOemIQJHkOAXUJ852IouFNlmF6FImXPKdzb7xaRJkHWxEyNxPJNJ56
PUw70N3VHTNxcZU41+TKkmN0cNN820x1dqSijm8wCw+HRnVQfvgWvve+7CHtGOLejet2h6p5b0Gx
uksIPT5pQS4Epsn0oXQN9xJqp/spLTZJo68R0Y1Bg0jMz2ESVu3ccuL40UXGwVsn4w9IruO1qwkM
ZTTVFpzWNvEtSvThZxfU/jomJ27HQpWgvsGOn9sg7F6GlDcnN0r9kuZSbqJROJcS9vgpIXfnirT3
U7qxubZrHT40lLP3uJQbqquk/uFCU+AGHexDqTLxNCPIO81MmLfWrIfnzHLSlTKy+FZFXnpfza2z
ndpGldvCqvXNGDGRayE5H4Us4iuLfbFx6gQkEACY+p7gi/xbM9nulaAcvZtmEJYqqNq7HjHcEU3o
S2eOSbUZA3uiPGB3vx0roKxoOu1d1ukZnkWOyWjszHWWO9RAOrVfiWC2sUkwxchFFr4maJreIgSs
e5iT6si12j9g4p7eEmqx21JL0mxUpC8dlJlHTZWHFyA33d0MUvnkuG59iRSPfK847/266t6SpC1Z
YOnkfYIO4+E2pqW2SlSHaBdT3GQTb1fCrbKJUUWSPMKdEgxev8YCgGwVc8dcx+mldProOQ88dSLu
LX02Kp4rFYuCTpDskKCesk0RO9a9D3LqFPn9sCHnL38ap9q+xEZRfrrDiFkbTKYNqZjBpllw5xFm
FzkfgczosEh7bM+mVLjLZ7i8B4MHDc1Z3jM+1zqDs95kWm4qw61f9Fg3IX3XaD1m3lQ/+S2ZhilR
NePK/8lsHcOmfIWcEr0P2oTnGkrOlzMzbHE/c/o9zz+JrySkQX8F3++2uzQD5yz1QH/ldYnzrRcl
2YJ2MaOL86v3cbBq1Iqm/1IJhjReoasbSaUGDpWzgy8oBYJQwjZOet99CA1Ob0u0gG+9XsEjVf1l
znr93hVdf7YWuK2yg2irqiQ/TJ0D+naB4CIntVaVTOrX1jeTHe4K48FjqgvewIxWlr/WHPHVGv58
+VHhihxvIV/G3sEQWNE8YHLTqhuk9QwsBwhvnY3JZ486agelddpOKYiQVTQPEjg3fpuXjB5yI8Eu
Hgi5gkPMX15SE/wE/dqxcgs0dH17M5l9/NUOE+vJT0seoMSa+RoMVT1MVaBGBkGyfHaL5lP9xAg3
/lS+z6AiPytq0GPsGRxDSAY3cdGQP98buAfBEWeSwZZVEVrvT8CovWmjuZrXg9bOelh4xhRjz/gX
qiWB/NGMBnsvySc8yxT+cSghIcMC9TaGqG6yro6o0oMHnSj3DqRPcWNKF+qH8xOsPEYZPv6yPA9Y
iY7JOPE4AFf3TnPRdtUGHslyTRW7rIL9Evo5QtRQ8aYZ83nspuCSyClmYxu2eyuMzG8xj8+3Grf8
jPmvKvj4vDmL2PQuPR0UOeyOfkgn/36aY2vP3YzgOTIQ0aPpwH1neMM+N0JEFQyl7jzbvFtmQl9N
EREbUNSDxeTfKNM7KrsldYjzimjXgOSygW0ElHe8kHjMaTxxhc4u87dZbxyyGZ9NNBRiFQ6tuFIa
5C5pZFl0Z6cJ0snBR0NArMs6RR+7wTvDliKaeC9zElh1Di5jpzGCwE3rqvbstswS125nRy+N7G2C
3Wr1NUUecAGgjIdNxAYHuNt7VyfpmkvDZ1tXTRPdx8z3L2ZtoJPCWuyfO6RxB6fK0pNNesMZqH59
TtwkwNqMM7EcSL/a2CXvKeJ6fcdwTemt5yhKmoD9yLbpjWlYzW6dbqU7fQ+Rrm6gf6OMkbb5YSC0
P/Y4Jh4FJ9NK+B34i6aeEXjPQbaTKRun1jPnOwQUyT62ffZTVloElzHT9XU2RpNHrzH5X4ZTHgSr
etT6uX+qvTr9IryGU3CsFFFvDquXmuEV8ZG4l9DHmPYzghAXNb/ZU3NhXXYUl5muoIf7IF2cDOZt
axtfAt1DcJhwGFtTAQfLJMB1m475ePUjGz/jFBhHnYv6ZFRE/YAYaN7MhAKElPtko4o04TBWB9p1
lMVFc9fDodm1GUxyC3H8tOKX3lG7sGXz0R92Ts51uinjFAXCBO5x6zox73gFM2Utginad1nTWlw8
dn9r5aF6BsNtPQdDKbHhTWm8YnIF0qQXabL1c2DGII2S+okk1sLcJZ4asY9hgCh3Rs4s79zHsc1I
tq6wKhYMPyCHZ9J4IatPnQITPjdCfYYD65iV1QPetDbBNSGSx9ifSS3JQxytK7xa3rBJm6Rj11nM
+7kbxFtmz+IhGMPK2vkgPMhnTTHq7jyn4txKmzhsybwVNgBzPPQPJFVSIg+o9qEYBmH90rlO+q03
zGkmh2Aw3eO44DBPM6P+p8Sdy9fGIRrKSMvmboQ+I/GTNeoKXxTTnY3C/L4eGMQ5/RLwl+mvnkWu
VRSojKCIMHwzKifeATGD9OH4zkkFdvGcqgWrVOJt3nUitvG5WzmDFH3kuzBjjajHW5EoWL8e1otH
jaZjY0bT/MT40jsFje3fO0gO2006BPWNhBasVhpE4wdTA4G4iIy1bGW2rA6McTTcjeEPhC4TCzOv
W1mNr0kguCAYoU4XXbj+touvSe133UaWInzK8AfdSFJR3AyRycYGKH8hMG8aD7iTa1yAcE6+wS9R
1TpmE4vJmESYfsXU2bviK3HQKg1THm4Sf4IXTTif7SGMCsoM2leVkv072fe5G+orGp35hcH5cDVw
PsEVs3AiwhHca1U7Xxzs2HdgYtxtEpCwuqsSe9ookMt3wD4n+vIhEG+6zmK8VSI/kyDY37eGnTWM
IK3YPTfByNbFspZItTjAET0lVFlr7Rv964RWm/E/xfUu9sYU9nMy3oEKwCnvu1mIKZ5vxLUiKNcA
lWXLj4i9L2t/17IeZbSAo5LCLB7TBC/DaEQ00KGYPa5T5a2hxtFIjYXj3baVpR4A2ZnsvZ3ybjK8
MgVSmzRfZ9IJbsWcNvTyTSAuJqmejHFKlZaHRDfWFxGH9hnzDAzAAqNLvFId80/cuuCV0smIvidZ
Mb/XBJu5Wxxb9J692SwA8jkuoZE5tHFz2+cvPG19vy7zhJuAqed4p0iM+z4YejngeIkwGucvvu/Y
R8fS88W0S/+EQ8JEZVSoM2c7F5AKzQ/ldm28CStuPnTBxhdhJPUVIKh/GjFc3biD7o+zE3efqnPx
cvDYNqshCBviMvQ4/hApYYdt3m3oIfJ0rYUuD6U7+yePc3vT+1X+6IIoOxk2qRxzNnUfZbpkWM4Q
kPd1bpaH1PXHcoOws3m3agI/trLzqwdaJKbfUCa+ZL0TXGFM5RCXfP+RcDz+0XIOKdmjrdKLhxor
MeuOxFfGSWfmsO34Hj5CWtPfuYGKYJX6Q/hkzJZDlHPR2sm2UvE9znP1AP3IY3vA2VKu3M4FW2lq
fV84fn6uLT6I0LzFzSb8ezGWTBPMqejeZsZqy4Xc25egU2oX+XQlpAwN+QMQIoKG4zC1a+xQ1XyF
yMtPhOLmxjQTcWW5VR5z04ofFMv0tZ2NpA72pCK3bkXmaYt2Z45J3y76SZz4MHnH2218Q93arvnl
axz12dZKKkjC4Rzcdv48309j8dFYJCxmHc4SwoDXWB2mi8DZ+5gMzrBvKx82Rhw+ToDWt5nIF+sT
o8ujVibcMmcYYVqhBnwC50VdIXxenmnBuue81zjU1bDraV/Z0HRMOAx8nEdN2f7mx5W4j0zTwh/j
jO2DS0FPJ5B7oD4Csp9W/TjWp6T3iIcE2qoAG4/tDdvV71Wb2RmaNuXdxdL2L4Oo3OvIOOOt9APX
W2VA+zXtLuubuONpGgjH5FQF/ZCUhDGbzBQwEtqfdRkh01CIv8q1VSkjWTN2x2aWecNUoDez5bkz
/PLFkVxZcRFSssRLJLtlD6iU2bZA/LDqZ/ap+ljw/cVHrqvDGLfBxvRNZxvAg6v2puO53KZyZGml
dfEmnAj6STR321xMwSckO3XGSQLngOv+qwmwqsXalRPIChAbzBUaLGftp+ytnLmjg7GteDgrG9ql
XTSAqtjmMO6tvffac8slV1Ybx8iAj+cyI0mAMGbzRY+IeKFiNTVoXBU/eiU7H1Cuw1Pij+5HNUzj
t4Sy9akZu65dCYAonP/RgioK06BazST8vDUZ+8uFQCufGZFSmswFPR4mQw7jvgt89jCZdrhoMh1f
BsM0v+UI24rtUEfQFNqJi2sqQ3GMQOCf+UsZM496O67j2gFp4mFfhtsI37NVXu1uammXqIOifHpp
gsxmbxOHO9uuufPLhlhedJNVtK4i24g22k/mS5dEnN56sLMTrg91kqMCbOZlk/+dMJCEWZ7Jxg/D
ccVthYoqgl0QTt5tXSQxenztYPZKY26xFUyHJRtMdE5zE44jnybLXAl4q6rCdUHE15e8b9mj2GVG
ApQ/VisdGcaRIXsBEqBVy38YeOmw5Sb2F3a2Tg6Zzgb/WpSe94HLsLyt2aBeubyoXXKuy1UEX0Ud
tUkI5QZW6/jKvNnetllqPMmluyoCiMHESY967bIf3A6Ekm/IWjUvQdjbH5mLXVsz7tsZESnraxeT
VLTzUBGsQ4bD57lAgIMrYLyFAkeGgbUMyYu4glECzjAIhMWb1dtbIx2ursFkFIQo3bV67SjCT1NU
Atsjo26riQLbDFPT/7BqL710lBO39nI6y3nCFumb5Y3R1zYuS/4NvjrQGatT5quJvPRWAf29AMqx
t5U2caDiFoSg5nj6Ne7q+dr2fXlTZdgrVWwZW+KDi2Nu+eb3vO5JQ6iD9qboKqxdc5O26zoZkg0Z
YPN3cO7xAZacfySdiUCCDu/LUHXS+12J+f9b9XNJvreVqj71Twb5fzLJf3LG//ar/0HaIDhWyHIW
C8J/7a+6vJdJ3bW/CoP+9mG/a4NC9zffdUwcPuCvrN+zFn9nZoX2b6hbod8ID1QVMkJUjn/Yq2zv
NxGaPjAt17LRdy/KmV+0QY4wPf5Ex8NB5PxLzCw7+IuwlDwA/LOWb3usc7AIBX/RaFO8l7XBMuKQ
tklxmGIzW8PBPgHMAL+hpS1Zj49PGcXE3u1zjrl4Hr8UZPc+ggN5aWXYXIwmmB9kVIxnH0njg+rd
K9lvQKwoPVGmuMmBbZC5rBklW+M2esaoUlx0ZhxpLUhn74LuDBLmwSi5wljWxt88A6KCR7O0tvv8
Pg3whazytMgYPgpE227TuTtWb+G8qT0sQsxtAqTZaA3mYaovbepiBvHgzK551znGzSjdJ3XmH4wy
dL1DqMLxMe8wzyd1/SObAZlspGZ/Dc4gfcOu/W0IbfOQuO5tisybnHt8CQM62I1C/4FaZPo0KZE2
blc2t6M3QPslNeIBaFRzgVLEPIqaeOBIW7cJ9Ja5Haw1EyucGXHyCoQU7iNzqHzFgJa/kEKdNHjO
0bTa9DlF5Qcxc+m97cJaKx4R5pO6qB/MIf0YPEX/EkXRmtZ04faabC4DZb4VFgaylYrKnoUQCwqk
q/KxJ1JdO4Px2Hd+fu1zYezzwYvKTe1G5tUb/IWyAL0KymJp9ebaWtSZmNzMiFzLNsMKSxT7UoHr
6RrZgF1142Lf9MqWSF+DFvKQ17E0OH6wDiH6JKovmu0llQoiZ3RmAaL7XRwY4bmvVPei4RS3R9UI
xRJoQjXQaI/9aMxcQoDlngSp2TgCojUgmtzFPOya30XjjM9lOUIdCELl42nxfxqYikKH28mYwnvS
V4hQKRpcX2vOQg+K60AK1ooIu+RVK9FeZq3dJViNjmEtrcileCoLa6MHioqWLKxVUiM68MOyv/Nc
R1lX5AdBtQ5TZZAi6PpE0gyuhekE9MUwPKStH8UH5hRdc+IJg3SbB1LOG+U30AyNofys6qQ4+y21
3FZPIEnwqTeKn/mU+KfFsxuuBgtlz1oM4VX18hhkdDs2kfG00tlWm5oeAErFCu2x3LrObWC6r0BR
7scUoH4Ou2ytkvYAxj8GxWBe8prg88qh/Hf6b1HtPnal2E6WO90moXPwiuxC9E1zk8po42TVUcQX
4GP023j9qTbmNWg7fmT24G3YzRRHaWbOPQF8xg8eZ9xr5Yqt+z28Oux8Y3A1zabeVcO4KjiidmHB
Fpe/6qczX6HLIofmYyzglwVruytzMozdMdFhbYsAJ0YUT5iU2FSZ8bFQFR5DUgwpqtV9IOhmYUTg
oIKF03sIiHKEZeBt46cCYv0+wzjCnN6Rh8aXGUUK85twgr5mFZVaT+wjtxnrl3fMP5jLfeKDIFPP
DnBQivClDEbg1lTOxidakzzY0Kk2ESFGFzNJxVs4yUfis5INi+9uP0R5zSuT7shnCjaW42uYX5H/
fXZntW2taWsFo7qBPsukKoITU+YRmAb/kaPvIhEVrBxWHCeYUTtdeAyN83znTrbYNwxAizro9lhm
P3IyElejmH5IhowIsCAqzK7YuSqg5eqtH4MOsm+s+D5/uZ3uf5de/uo3pS34k1oYxzhuClegrV+0
2z7a/j9LMssacFKfWOGBLQ2jgCK1Mc7npcXWrKavqARviTF3Xr31mkxdzGpMXmVawZmF2QIjuRBD
zDmpBW8djM7wnqatYwk4ZnBjVZIggGgthmYoPKGUVG1pwWwGP0Ye6QAPh+AKH51DAeZuM1UdWpGx
buEiWHEX72MpjPbY4oN90WUdnfsp7fud9/M0MX6eLM3PU0YtB85YjLFx7MhHtQ+8lxiJWhqSVYem
bhdALnvQqTH5SCpMCqSm4ZhinfzdjrCrsR6FKSO6mzxSuyE0nV2XJPw00/7GdOkyPLM822kWnx3w
KzR5xbjO7DBmqy7DtU0tv+o754GQJISCHGc3KLC9fcMaEM+w9uipEpRfY7R3ytI+OZ2vf1gABL+0
PR1Y48TE78FVKsjBzaxu3Kd9BblWzMm0R6/A2yIgjPF0s3ms1m5tpdkj019rOKNpKNZ5OkCqAAiE
FF20a7NBqhWGLBDiJpzvRQSxAvjYbVK16XmSlnvfAZ9AdQQ18SuHglrnjT/vcFVX0Dxm0qUK0aR3
fd0FH1J73TYp02ubV/ZJmIhcKpa71gWOZXZbhImPxL3VZrrOdcHqvwhscY5Hw79DYWHs/T52vwe0
lnvLyPV9ZEDzrnwpv0dYrFhyJk2Ho4rTC12TfRd5nXlN8N5sKsv65uaRBXVZFSx0vEYiiWnvc3B6
q8Sz94hYp73VWCduO0ZSndGfA0m5LMa2YdxD4r2yybGgM2v0dFNr7zUGpbPlO/eSQ29mcodtppLh
tDUCIN52bT2hJCHWsBsPTBCI0ASKRjrnhzSxqInG+N44KV5KVEk4MfTJ8dNNbKU3KKTOqoheIpbK
QRMfq374lqDmk1V4i5NtIZN03m6cu48lOek2a5wflSvDC+sVmGG+2e6CEWJuZel36MnqxByuXyOR
jj+mMBxOvQjUtYCHflSIaldpzTKxKMh47ntFK+d7uPacj95dmp2iFWukZ6T8WUmCfdf4OiNVJaTQ
tG7LJrwwq4O8lXX2lkHktMF7ThKorhdFAh0yUJl5LWpGnPD8AbVzWrlDutUBoKhc7Kpa6Quhou1m
mqdpD0BUrYvRfmxlNCIbsZIjw1IaHmsSFB+WuJWjb10z5n33Xim3TtgnR0MTtysHU9MNln5ywk5r
DyvbyN0fCtHT1maC8Jn1EhJWRpSC280Vmg5GLAxI+b+JJzco7NJ9M4wpN2xnT19Hz2cdIMYJuvXU
MTHuGWi9ssjXzw2cjWpVJmn6CYSFcQpyyBh9m9SwO+xR1Xuj7WK5hTdSnKPljm6X2zr7eXHXPy9x
8fNCZ4Qlk0Pw86Lvf176888CoGYBx/79Z2GAX4kiQSz1Aqv+P9xW/9tt/TeUYhv5IB6j/7rVuu8+
8HT9aNvp127rjw/7w4Zh/wYRxnNNF9+97/yaGuX9Ru3GO+IhVMXs6HDt/QfJQtCf2ehwMGmIEGXb
31oty/xtsWzgQ//DoGH9KzaMvzRaXLrcuNztPvjk5fL9i4/OAxeEML5rOIW8r9GIoI/d0UoyuSWF
EagjaerjTob+TV0633/5Tv2Da1/86dL3/+5T/6XHQ0G1ROqoZhu6WbeSMdsYViuHOou+DQ3n5j//
bPbyN/nV9uHjp7QciM4LFM217b/UGCm+BWzvJTqaNHNPsomItEbnvOg6st2k6ldTpumenzRhMHkX
gHnqUf3VJpsR0b32LOZX7iyf6ffuJ+1fvHRcO13urbTJRnXJgc3YmcJfTM+WU6rtP//q6a//7svH
extgWsGeY/NALT/IX8x9dlsoX/QkTHmUlAdsqqmCfGi0q6Z3uUP0THhIzdiHxIvxPuzS5NGNvDsU
YGg67UDRvTWvRObKdRqYXw23vIkdd29XGaihJdC7SI66ofEbB36vXQwpq695BiMcsCmI8bUHZHbK
xjbBOJnsYKIcmLGRb5Amrvz5ivyPeV2y7b34wfXSg5yGbwrfWjbEjCOLzRj1YIuT7Ep27kMNBddt
PibMF2y/Vm/g+ua9P1Fts4nyLxUZtJTQaJrCoMOAEQuKEsWd7KFI2oyl8+y2lrO3Uck9icy8lgYS
8TzkMztNn0NlGqf3tNA+G58UtWasW+qmHHsO4kp/hW2w3TCRS+6m1ofUkg/NwfQzuUPeNG488Nkn
F2HtTRDQ7BNVoO4HtNiHuVDoI5EoviHrh+9cJtUdspkSvUItu1UpxNuYRYgnh9j+Vntz/6PutHnq
rTP6p+GW5BL2nCYX7I4bBHEzMsUT4qd5ZYp57faltaPfJ+4oST8SSbzvEAZUdTbkRLxMwLnqdlVN
MSnTOULY+NS44RfZg4Hx+dF4amoPi+ptDZsyOQxFlG7yQjUXK6Ag66ondOzlzT9/IG0OoD+9ToEH
a4HTAwqPbwsmNX9+HtFqWE2tJ2vb5TnL5sSbq3IxuseLZlLWe4y7zlOyhEvNMTFTMb6QZlUHDVm3
SVPdBL7zZbT79dxHSDjAF/8Yl5wqJzPzvfIixY5OmQ8xOoMX1XTdxR8j8/e2438vtf/mUltulF9+
2EvW4h8ZirfvxY//+2//Xn7E7fv/+Qf2wt8/8j/dhWyymV1QIy0DxOXy+oO6z93FKNDhTWK8yG/i
4P+Pay38DWJSADcJY/vP0eIf80PL/k0s1x0R8Z5w7X+NzvR38RfLp7BEyOo+EF7AJPPPz6Yg+LO3
uhRdRScH9YiIKGAvb4AcZVkv7lw/DrBkYLXalYSq7FxTp4BopLf55dv2Dy64ZTD7l7eELwMzcgjM
AGumE/z8Sn85tU0UyvguQobsZI49k7HbbSIR0prLwn7qsiS8GQVBr+xKIKpi3QCzGaCi2JIg6B34
T4j86VtJcYqLN2z1JvmtyUSrCudlU8jIuzf1FB1nm16Dcr27jdMkLuj/FkpvY9hX+hADYxGbSlxj
LVG3xgwRUebR1mihhDrQPLelZJsemx2hGLbr2zstvHJLJkF4Fh0yPGIA+2yd8vsJjiZk7YjwAnEx
6VtIltzbInGMA3FN0DtnpZ13BjD5xXNyxnWEHnfIsM3mPAq9TihmvzngWT6srPVA35nhvpqcnj3v
oO4ZvHDop4Qo4VEZqm/aD9SxE317F7uaJquy7I1Y4L8idPW9ZG+3cUtimM3UOeVVfQB1j+SPmFoI
sCFSsNSd1Bpenni1wLasK1yoX+IhNHYdMNdjWjpMZXvHvmmYFe74LeZ+BOu4qZgjHBQUlRtpOMMR
EwAUuSlHESHxeTPhPU/aSG67xIW0OTQ1FvjGztbkyTvA8wZvG2luY+kJ/eQhn4U7uYx3IEg95uXg
YbVGHdhOKI6d1jQPNYFg/NWae9bpEz2vMVwk4+SnbhiNl2Fo+h0Yi+hg48rFncWyu6lwfzqoBj6a
IkUgXGTl1YUSn6xgX3eXoS7aUyIdGjuBwmscLm4Mzbw0znSGYidHg/Qn07/zHYLuV2YmrfWMVsou
yO7F0+KRZlaG+8xhmM2FW29c5rkHhGGbMpqztUpphIWCHpkQo7uk3/n0bZsB9u8BZQ1cRt02t3WW
6dcklXpfKtrZWWKJxWtgfPPnBrxyX063hReSKTAscQ08VrRZOKlqRxXLv4kP2eoQREEtX2YbrQGi
vn66SJeqNI8r62qOyFG7oh/v0KTNaMMQ3gxzzcggLO/ARbXUMt28r6XW1zz3xD7P3fkKUDcFjMFW
uXAWUCiDjftsSoDsWjbNIa3dtsTtcIwb9GZe3MhNWy5DAV/XB5CN9XNOIiE/TcZEEGfjbRkWn3g/
5RZlQfEUkU+98qknNvwZFUkCjTj0YzjfjFh6jpWng30J3HfrEHgKJ7LwUYwYYbgFC8+GANLiBvZP
cmjR329RUJJt7HuVCVMWeMeuc7yexaQQvGuInzdGPTJyLpmKsl3LndMUE9LeYey/S5ThPPQEJJil
uh3rmczvvvIuQeVOe3y3/cbthXWRQXwXcshs8YDfmcTC5TEjeWmW3bm3nOT7VLXxZyFpBcJcs4sP
52ih5CBp9B1UGpz6B+pecWJDiElwcDHVlr3H4sMXd4ovm27eix5kiebfrgOa7FR7B80V/70lP+CB
kzk45n7VvtkNBHN8VeR5gpePWSKS1rfyXCmyI2ur9cjD3xB60HXT3pubAkaaTJnZqLrBZBtnw85T
YVDfQtYeyk3XSlagA9y4xdG2I/XCWSOgoEKLlrYbC7avsXOZTr4Ouh5HleUMTPiTCD+NEd25RQKC
n31UZRP5towDEZ9p72thBd3VsCtCJXACt88KMSKig0jeCd0CWGfRc4nYe+w40xiVgYE9oVeIv+Ko
RtQTSGZmRdzj/B4dALdzjTBvbVvMdW4WBPTJd93I3Tp1+GPKRCaPdVkyPSKg4hTkynt1kxDsXFoV
kHZZmlCT+wIkECLRFfVh/ZmQxFYjA2/1p68o3COEo6+FFXaHWlR3ZH2/EHSvDuUCgyAOx1sFZYJV
u86tEB2HgJA7m7P7NfczEaIAldWrW7T5MUwnPoE5EMo4JMF6KoryGNuLF43xGcl3uonye5QPvbUn
k80djyKd+vCmLiIr+yEMDz4Nokz3EQqXA12kNup3xavwHkV2+VyRk3FpJDjaVUQEF69Qy2crwnn4
Uqdua3BJRe6z7PvXrAiN8xR4Y3Q23aklcW4xt3sEXKzNxBlAfy7Pv6xb54ElwJJ3iZWJbdkkPq3J
9h64ClVwHPw0T6/4RQkr9a3kscMZ8Iitkehax2qwKPcED34S7uaY2xg5/guLeec7TuLpSOqHh/ux
F2cx9cGPsCDiB8+xmR4MGvSbaNnowWoamkc79sSlHPmuZlnu73urYVekjEYgExYN5n7RPLic1o+4
4JsDlMN+J5W0PeJh4gCBrxuM4IIj5+B6iYTbQ+0yuJG/0v3gP5MPkwd3yor89NRnuID64Jza9H+u
i9HTJKuT2I/QbMyXKmyTr4OXdvaqrZOZINFcamebVJ33Jsy4Ke9S9vXVViclCnmVB4S0EMegVjPb
WNajiGgMy5DXePCG17ytsT4Zg/NYaQvKpaW8HSDh6i7KDfkF9R3DRvjR9Ur0/BHUWkMKfYc1XD4m
w74BX3WGEwbbOgyMq8cGkHEpUMWSsIsffjLCY0M1Pq2xGPdf2tEq000GyRytR0mg0ZQVtt7O8+Jt
nuOe+EVZVOMhtYYOQ6Q8ov/4f9SdSXOkTNhd/5D5ggSSYVvUXKWxNPaGUKu7mWdIEn69D/pshx32
xhHeePmGWnqlKirzGe49V/9OPGPCwz8n77FV9neIYcrQSBKBNIyYZcULvPYXR6skUsMINGuRUi8P
I+rcbdcGPawJszSoxfyDZo3FbBVyLL7iPKoHfSHm0oAGUUwjyRcEZ0/nvs6SM+UMBCZLYNumbHBf
HIjEGjgY9/uBeYJ4zFs05NPs8igstduHWWd3z3zXXrJrO3SYpeawlCgAC9O7THE/4yKe43Jb9V3/
0USgr6NMzicBpXuPfIRNd2IH+6qVxqYWXnFAihY/KIzle1TC88lB4XR1jRbtaszgPHU2jfM3MU+r
YdY1xy+YjziS87PlfXRqgsZSqGhEjmT0v6kviYoSstEs0WZFHsfcPhYd6Ac7jwpyPBzXv68NLssD
QyL4+X0eHHwjz7bE1BeHLJKA7+LYPUgzZScFV7O9r6Gu47gaBVKTstnRtYkZL7Bp1cQHLPLOhYz9
mOAhRQ2J9/2S5kH+osYoIQjKNA9S9cUp63HxoES2+13W1PNf1DoFLXc9Ze/+EKy8eYnFndbcwy5s
2isHVQBi39XM/vVOV3DLI/b0HVctK7DkhJ0hDXHesZaOojI+Sk2OwVJ3DWP1rrpW3mjeZxOzV+rb
/E0joLTOKlYk107Ci45BFLUEYKE1uDKYgywvFnnkT2ZXqoRxZMEpfo/oXh6dyeqpq/vZvHHawO6m
8x2bbQJIcwtyYFeqiKVSHFyRe+9tLy92FD3NIY6q+DpJydxlJNyQTNehZzs7GGc/y75acJ0PrU1Y
+GZerOLvWHkxuZ6+5PbHCb/ptEP3MM7RvCVjs7rzCjTFvaHMt8ZMg0cuuPZSmxNyyMAY9qZjjXto
zDwTSKn+yYJoC+xTeO8lCoNN6Y0pfDtPcIo2xhsGFM4QYoYiHQZNZR7ypiTcppDt8zK5TkR2kWXf
d5EZhKge9BdOquhp5hQ/WLFB8Cg2/E0pKsiJRf+3czBvu7HZEkghGm7OOKLoXMRWiglUN0UBCkeW
W1G5y+bc2yk0Za+N5Tk7l4tmUzRttivTyLubkyJ5E2N331rusO/zuj+wGuo1f/UyXDsZ5xc37zwO
EqsYjzU9xjaIE+tkOkBEHS2L0CmqS1EXr65V/jUi/2FQyOrY9mE41TmyeDjhaCN9bqasJ8jGY8CP
8vYB8FzJ3rAbH4hpK7F+RPE1WfLk6PrxdPbE73zK8TQNzj6389BkDnW0DSehl1omUg7mci+4kNBS
Yj3JgGbERzclCCViB1EnJ51K4irda0cKdL6k7l3sxeJS+eiGSTzCirpgYtgWQhmUjOUff2pjsenV
9NLwYQL8FNchhgACjdo83Sa+yp/imYo26mLn4g+j8+SI0j8rgOG7AWPj1jN+IOVpdhlndLsbu+4E
JWhlro+hDJnHYUjVHaswqY9R4bqYTtOznw9Isaet8JOD6Sme6TmcKlmw8wnSc1QKaC0soS+dJc0t
7Aliq5a6Hk/CK8U+MzLEaY7sQLXlnQOSUh+dtD22JjXE4ig/hPnWE16VFacI9jysGcVbzXYUlk05
G6vY17gkcRt8mMgS2UzO4r1jeh4GbVycG7ZcWwFP4K4wJIPSKVBH8OvWLx/Q8bvrLc0zFXCG4jVV
b3kV1ScbldGzUKN8XmONOCuBq8DF75JrN2TJHd6mZWdStH0LeBQnXzQYDZ2h/gPzQ+KswFvYYj8r
I7mdzei3qbn77DnELitDXE0vbTYaF2tW7qaZ8HwYxF6ftDUGiGSn4Lb65bZV3GZhLShglVfZux66
6VZ6zdVMKkEuU711sYgxqqWLNBHzKJ1TJ1Tdl3CBT5cGMmiHFv/U29YRbalxNm3IkZWYhvshGPoz
copnCR1F+gDjLae7r6331tR3I/Fsi+3vrcH9zBPCYSdTHPNE3/wg28dGCa2nO0YYVLiWSNGLRK1C
SsNVWfVRlsHWIkG8Y7ARFh1q/tivkudMj+UxGPDVcM1UVyefLJ7jrj4Ffn7xZYIbXjvLxe0SY+dJ
vziuW0RnBlqTZ0lxjMwqPU3QRw62Gm9rfj3skgoScUGDhye2BTpJGX4yJc0Ve8X827ay1SXmkTCV
Qtjfkg9HojV5LAnh61uJiOaA2jLa17kXXXQBhNVAuXwMBJ0+stXMu6awF1bA4nbpfXXqihxzg3cS
Y3IRxF0tdtnusD/L16bxBpbwjCzTzCGttSNgYietmYsxJ4oZj3A0+2PoZ2xalz5t3owpKMjVpkVZ
EJJskOY2l6Q21a3xcOYjU8+geIY+9vXEys5D2f6tNDHRZT4b5SZGFrLjgD+bjb9tO1HuGTE1pwzu
ZIjyCLsHqoa7xSKYj7ms+W3z97HuHZHMepV2UIn6BFcgTnsEcSD3kanEFl3Npo+LZqdasH4uw/iR
NDPOPOz1rmE+w1YGMm7pYH5CQuNZ5Ay63X5AqHyY0qpGvmTy0uewLfCABrvJwB64aTp5LSsHCHrj
TldvjvwreRlgPJBlLOIvpl08EUi+g+CGL2ubJvYjkeSnckh/A8f9O8cdWnuzqSnELTQUG+nG7bEX
ZPhxbRrhJAu9zSzDBGZXTnjolaDLNtIjN9cxF/IoPOSvjtoSMbNGZ5VHtAl8oLxyx237151QPlUE
cvQe/DlDXKSvlg211r5V6pPQBbRZ2rbzU8t1cOuEOd/bUfI52hYWnNp4s9NAPpSZHr4MaTdHvr6p
csoWjwbiZLd0Y5Qoxk0H9l1tt9sm02bo1Y17JYoOvaC0PjjAY4TOrXyzIQVtjYQNhz+Lt9Jzg23m
+h0ivGRPDR128MXmevg7mrioFVfzJvA60Amjj/y8dP/lnoVEioTAHIX2VL60bkp5iVorbdm/tFzg
+zKCGVTaB/JLPozGd/j0GPkunSKc/eTsDTeabCBCTnrHJiw9BGJ4nLqCUs9Ok8ekt1+zOlizRyGG
icKkXhRMjDxAY6CM0r3Gtx86qYXCBSXPvdZrbnyBRZiE+Ggr0XZZRE+6XQ1ZA7/K2cmvRmBemilN
+ThWt5WyNKrqHKFyPKb9iLEm0PBXxjHYjrUoXwA96I+gGs7Zwh6woOHAN6mPblvow9Ck2PoLPden
dADdBShEnAyRwNvqcRS1i4p/xbmA6eHZX7T8LzYB2NMjFrZRtH885lwvU0r7Jyh9TwmToV2l1dVw
Sb1gb7PsTe35R8fC9FJN40NMdMtmHOvmzRasIwFhkBmZGr69Ew3R49WgOtj8c3O1PCZmtA3RnmwN
94bZAwCIuei7enFI4MvIIDy5bjbiPYdTXgX6akCcx8zJ5rCEd3ZorAhTnuXNwaZt7PRVSe3c85yh
Q5ivsxv11yzC915nJlOv05JZ/o7v7T/63jFOFp3irrZNgkHNxftulqg/Ajq5BVF2K606OXh11hy6
oMnf8Kk22xYg7kja5gbvKJiV1o3QbBrjLuaep07Ge5EljkMV3jxDJFabhTphXjwHdwyOmtPS5E3Y
TtOnrKEXw9NJTm4aO3eFiXg9VonBiLjIG3akMe/ZcdK2DwqzkfWGuRAORpnx7yKbIVRSJUyoWvmH
pRvDnByrGRJ//ZShw8Xusc7D0ZVMTFL1Pres+D1fZI6Huq7Ole3qZtenbLk2RtRXAMBmrGETpthf
ePkhtuW23AN1ayio8nFbOtzI6WJ2WF+8xjI4FwhzvQvQbMRX5c6XSmbGW0Q0FMIWWo9dv0Y4IknG
iWT9JDsWdUk4VE9J5kUEP6pJkB7rIdXEl7AmQ+rZJePRhs8XxT2xnjkkXtMiYZJe3npL8TKfxOBi
ok4InFyZTlekhIxwDNt8sioZP+B0tg9t0iEqAWLlh8IluDIGU4Hcsinl1VTDtqP4s+EpdpuMKcU1
6KR1G9cAzGK2rBcO/uoBOnNyUD9JmSa6soOVleRnahNjH2KzRoc0/w1Xn7eEs9Oy15dQQDD4rjmc
vst5gaZpyl8t4d+NAUhUb56qx6yt3VBo52+EGu23ia872Vq+Hf2J1nxPypDPLJBkFeXdkzX2L4iC
1VatAy8SZo/DMjd7PPb9RWuTxxURTui7lTpqY6mwx6Te0W+goiBiId24HniKGA9u4zlfHnFFEABn
Fuh0ZvAm+yVfWUamw4DOJS6grD2shnDMfQyq7By1dxiS4VXNRJiaVveeCtSU6MbBpFjSvV/WlNPZ
6NtfTuxjiDfJUT3YcnTacHRsDPWSxiaOXpIkCE4oFSl3xnpDMOUF4XXGgaez82x5/1LK/zWYdADI
uGascmU3oVqDV8VPBivpQEBFBlFd3SV6xM/16MZYFBPP16FYU1vrwfquEp+HkdS7O71GunbZYl96
3IJfxEbFu6gOfhHc6R/dBk0YVZITzqqgCPvPZNiIfDCtLEEwrkNrbJ1JdK5eszVL1hI8fpVnxGdi
a40jjd20o3h/GlLXAOUhzL3XDldBod77gzrYC1NJgIQLSbt9ZdyrFSTE+/GSNC7/O+g+Wwe/ywbG
H7JqK2OE3/HHF004CPvBWFrzinZsQcEns7Ng37sReR4wGXJz8D36WVjAfaMONpQ3TdBmIxxrenAu
EIJuJh+ijSmnfac87NhD8VIX2f0MuYlkhMbZwFdKBQ5D8ldCOS7mETLDAImuZplE2At/+vCT4zt5
eX0JantAVLWm/9bzBE9LuBzI7Pib1zkw3D+19Jha1kkA3qpbeHuhb4B6UNsZk3NCS503+2YNIR6S
PnoEmrac58H1MfIMBeqP7FXG7pPbZ8F+dIIvNxOXQsdXmJbewZFY7LrZfgqoi+BzjmHXotYtu7d5
zD6kqhm09g1kwpp8rvwp6lWCOqMKbh0uutBa85NtSFSXds1UVrGbvEkrc494cihp1uzlAe9avAhv
2yYNgcVrQjMK8008Pml2TXeI5LNztqY5I+tMo7DwGsruoWP2Mko+AXElr+InDBqFPBFxzXCOleOT
r9GdxE94tCOX9ODjtKVboVrAXLnmTJcw3EITQRMjR6QXdlsGvI1+ab2ZkK3XAqiRJ39Nr4bNh6eo
WTOt+aHZmQ3+KxK7AwNCa19zvt0FP2nYhtLG95JTmHEfTk/ptKhT3KwJ2gHKzQ+ZdgZgpdK+LjzK
b3oN3dbM2KFMjUn/wLkAhQxaUPHL1YH6TryBvo6hQaBYCuWkl136n2zvJHXGN0kAz4P6yf6ec94E
dkxTcg8fgzQRcCmUmUVjBy8AoPpTomuSxMvOVMQUevJ1TERSHQqPOVUVg29mkrlmkbN6Kx5iuSaU
2z9p5UtcgsL2/JQUcxJh01esT92JdRRlXDVa6Z6O2jl6MHAIdq3XRHQPj28Y5JP6yLzqG9iEEQ7z
8E1bjsGyRTRE6oz1XVDwsXBbGFhtjIyRSD+Sxa6QuXNS/GdE+5rWPqPIoaQ05UeV5XyW+LLZ3xm2
2/+2iZPzUJ4SqN2MSv7JKMj3i3LcE1pb944tq74fO1LjpWIn3LkkyTdpIZ9Gd42XT7yYB6X1ePfG
hPx5wHUd+6dkRjTE2odJF1im3lZ/eXXGfbWm2Hs4Go6m7p5d7bCGRDFLiI9DYla2ZmcNa4oWk7Vk
35Lxt8DtMUP/J24rytforfknhstzMcZ4IpK/a4KO1c5ZE7v6NbvLWlO8rDXPy9OF/VBgzSQi+Sfw
a4JYZxMBNqKIDDE8eLjpyQdjo4g8kwc4XvyvKjHjvb+mifHgt7vFCMZTbdXWA+yTrwAWJ2wMalro
KurTaQbEb07c7nJneRwTVWytpgyQbi8YAhNrDl30xdt2/iDKMu8hTdpWfc9GsOb7cYPHTbtVc94d
gtRf3iqVIFWKMQKThTxttRbeKpk625Wk6/CW7kgXSMqYDbQUjBJn/YiAKBqSeZdVsCDMQHV3mc/w
SzMCe3ZyhD9wv6XzwrJp2YNfiJ6makr3AySrzwgiabEwdMgDnCRV15VvhGVyIuY+eRZBkD6NU2Af
lHSLMuyClpBVtigIj7IlCojqiBRdR55lL8loDs+ArcqSqN80BjhomelF4sxEEwiTYQuKkD4t98Jo
sfVNz7k4pnJUB0cHNGikVbJBPEHRYHVq4xNcb2qPxmPnBQRnNAgCNg1EkDc9omeCSzAzTVEArBaD
PMl0UsShNC90ZlQpg9Md/Lqx77IpU3vSjNcAUesX+7foQiGC8JlqEuM9Dc0MBBGGJketysBhQSFV
dxhx5bsHJa6MzWmfpTapjsPgHfOm6S7NIlLQTT0Co8lSB5YMjDmHBv1cSNXSHoZqim6J0oiI+Vjy
U1kKem3lXFhNi0deVYf6wMHTJdagGLZrAIrqxbOQUTT+ckXa7v2biQwvDmxf6AHZuunz1AEI9J2F
p4dZ6ku8OOODPTaPBjadimneXYt/4eQUHrky2OPqS1zFDONaUy78g06N+wwwdRgs9b8W2Hy1mVxW
Kl5tj38KpAP7wSiiox2D1trUfWMd8LSLi2PqYwHR7itXyHh2gTKIYIxllb7x/v6arTY7aIYIXF3s
1TdxKWjbdLR1s/7DdDLMD04KdXoSiQQAxpiO4Q77O3OL3NgYcSKPxDjmLivFDk7nvGCr9ttq/Bxm
e37MZu7HpsUiMyQ0BqDeLh4RLwSguDjpME1N1P/tnKTPQ4uyj2ii3n7A3l1shtp8ZNewT8H5kvw+
v4pC5n8Wo0xf+qDz/rCBC65yFOd0zGyyP4iBZFpkTR2W41QU8KKN+sNgIfuASK3DG1YJngpBQGtu
N7+mIBtQ/mO/x+eRuoyCqRm+mYHSeVit/RDjUiGAVkNL9avygcW/PiGBDIiU1Y55icuUj3aGD1wZ
soVEa3xGne5+BQn1RujWyrwwfea2UZnMviOGlbQJzuTCihYIIyMZ8AaN7TuDoU9Azb8nHRRc4273
apO6dUpbCbOE6zT9EPSf78OMrZdTyJyPU0edTq/R003BMMx9epZtHKRqB4ejeiLeaAmjyncfhrL0
dlZTTMelIpc1ZNI37AlgWNOTmwlNxoSXe6ITHYxwLuzwp8HJGUvsF697YuOFBy2tV9dj3Oujb1gB
qwzDPxittp5qx1RXz2DzOnAePSPyMMKFST8sOa0fCxk7R2sY4o9kqOxXYCs5WoeVWU4OI2IOw1GH
flzn40beCajT0xpu15U+C68B4Ck0kzqViIm8mJsghURSbhQgDRyb8RaAiAXHG4T4UFmIfKrFxelV
+1ghXBDSO9/r/2UiHbYD4eBQ3DLkDHi8lp1lixeP2X6YmiI4uJymwFzn8moU1qMkH3bfu7XcWHLx
7gHHAelOtf6tyJlXoOAm/wn78wQ8UC54KlJRPrOkDW6W4ehHFtjub8tPqosxu+zVoHAS9+vBqYnj
Ygxt0t1vDnTk02wPHz1zaHJYRli3dqrzPUqa7sBVit4FQtDDaJXPSPDyKwEOiDuC3t46k//WlmA9
eng6lJK+zl5b9DqPEwh7vTFHJ3vT7cKOwPAXxE2pasLGXu46HoiwyiMFGXr2Tn2SH5JySs6yTBlH
Rr5/zqS8b6K83I526R+req5OzDIQZMKP4ROhp7NoEM4sWcd8s/M80NAgFD6iqkP1Ydv2u+Haz34X
vQa6mR6TLq62XkQXl3cEfZSTxJiks6eEPWGKGuoIr5zPTxDMlzlrmLwSq3SPIasLqy4/2ZSzTxgy
mBvQRF2DuYTtTfNk3zVeUB+Z+337ffPimPMljlkY+YY8V23J0gao93jMIm1+JF0LB5pE7YN0nPJV
QNJLNwM76RNp12dRu+OFmQCaEEfqbSqs9q3IeaF8qHsb2uQWuBOLapPlA4AY9Ept2LpTsY+BKx8t
I0XWgYs9LFej4ZQPDAA03G1z08TsZRPHLJ44pnHbsJLXO26Oes9O0ryMFkLgTjDr6WN5jFKA2ZuC
VeQ955YM0X/NZ/QEDttp7MxqiPW9D8v2GIx4l5FYFrsljRhJBaJ6bikunqdhtnZxUjafc6GgOyWj
VpjOgJ8mqMf/udqO3hTs7U2y0JQykY7anE/+AhYplcF7lRbzFvQhU4OkNiDbWbBDK5mc8G/VpzLx
rCeRuuk9AnYG5UsCqiSY7OGR2UDyXYD2glLewLWwGUQidxDuZXZ750Pkk+Y8W3qmhlrCBp8J45lz
XaDbStknSCf4bqPAOVOoxN8MCakhsnUUZbfZU0oTXtIIjGCTho91FPRuRqiyNkFtDp9L5FpvTDfS
T/RpywOzDZvo2sjYLV2Q/U0MRzzDv2NzENXFS5RFpI9ZGe09BqONHTTeDXu5eUjGFpgStNtn3G7g
sBpS4s9DkuX/amGrW8X1ymJmjh7aoJUS7URBzu8At8fIoug8lra9h6rJVqH3K/OxKObpkzGLe8fK
qiB72x/BJE5O/8DGwLmVIw24Uc/5La+N31nf+Xu34/4ci+gMeQRuiS27h7jV4ktWirFizmdmU4Fh
4E5MDYRBcNgHEn1PPcQJQPUGqK2FdfHGmsZuW6AT3y8dg4wmC6YQ3Kj4Z2V+dEGh01SbxoACBMFo
TB5dioM9y7joXNZ8DklWKHlsafU3k8e0gG2U9TzVffScBUG9ixECvFRReuN2peaR9NJcv/axKz1v
lbXnlz4v9CtOywXEJa4tB0MdO2vK2i01cv4ewChjGG1EyYdyPGZuAbZAxg7Mtxd0NRxRqZHvPdJi
IKa4y1fVpO7BT9je9UNphwEtJ44MAFhsd+Yb07DhKKW3qvvW2Xtjjv0/xDUEsdWxvC2tWE5ALgk/
s3Do0nQF5yafXGYabGL4qLabwSknxic9vHX2qviqkeWlPJZssEt9r9LhCQrVgDIOQ/gYRP4eNRk1
Z5wah4rVza1XIG9i1cuj6cDzwhkjcDnO7N7/LYYLrKpbKvDzvAau09v7tHDr1X0X3XfZ2D04IPDB
/vD7x6BhmeV7js9LLnCaDcadimaweG5h+MZGFgVn0H9BK5ZlmVXM+0RNUmDgrv/Kto52WkbFZwE1
lhUKkuFXt2D/IVFfPaoqyn7lQa/upc3ShTktYthckZCZOFn19KNm/n8tl///iaWx4i3+J0n3/6aE
v/v6k8z/ZyX8f37r/3B4EUXsuJ4wLeTNxMr8Dym88x8mx7wJjRNpiFhNEv+dpeH+h883oNJDvMvc
dY2+/W9aeEv8h+m5FhQOF924bwf+/43BS1g/Kbr/s/PJFSbeatdi2EkAJHyO/1UOnwpq+iVf+r0u
xsTZml2cHETfJQ+GkZFKLAfx7rcx1siO/PQrrRITO78iLcWf0uxWOVbKuctwedNOs/OHKLrgZakG
ogeiOrbcK2SiMXmLCWObqe9q/41looWh1bK2mjk3zt/iuXVs/YqoVYZDMqoHtCRvVBaaXK4K7JFs
WAAtFckB0rMfOrPkygXnf0Z+kpy6uBwfuW+KHvaA1HXYY/RlF5Gg/h2seThAuOpNor+r5UIe0mSG
3ejPZNxEambZwaflbHUtCkHalGcV9LXNKm0pb43pL4qus1O3UtRlcF6cibl/YCJ72hAGm6iTFRcQ
iAFRNn8Mwx9nAD0EzuAGNePhOuoqCM4qsjge58mxuqd5zps/DubdlMWzztUbUoTgT43K4Tfjqloc
LXrvcjd4VL/AtxFjp0GAwMJwc6t8kL5XTecFqPm/IfKG+l4jP/hFOIZ4qRGqbGwiMp8sZ5aHKctO
jGds49yQ9W4e6sJ3f89d6qgTYqgZS1jUYVcuEpcJbaLx+aKjr/ci4zaG++2sc7fZRLlWp59j4QCP
b43uW5u9d0/Ix+zter+F6ZRMMVpo6KUX1oDIuQltwxgru/LAq8LQZZBI5hjNKdZXacOOVeUTLIsh
vtqFUea/AHq6z1lWsjMdzMo8G2D9N3jGYCNBCWcSEM2AWBjdpGEzlvAfGYFSja7J9g6LnwMxZ96Z
1iG+OlX+PZY8LUCTcrxG5AdxpcTZze9hivcMcTdmwd89+hE0VOhwSQiov/6CExBt+nS0/8VF6b87
tBlrtlqf27+ShjCftGHS6I3YEgjOAz+rjCO+C3LhgcgczGwZEugTQXph8vOM9AM3/ioNkXKWTx7G
mM+uK1LGsGnv7grAsIcW18J3V1puBi7MKD5Up0csbpbUw4ZtmY5DTJ/l2s1VaI0KTGk+i5kia859
ZeNV95eW3VoRsyViR7vKWZ998nrRbwqHlONsQJu8zi4dR312jseUtlE878GEvAL2XI+szK8j3z6a
EeRBkFJj8j6adZKGqU5A4FaJm7GbF8Y0nUxvYMUwjfSGYV1iqz8Jywec2QQq+egnYOxIt+Kh3te2
p/S1nYlB2CK6blne+Ra8TNCTVhsmxiQeiMtgvtW4nftp00Hi6fNj4ngOUTk678gAWuNeOn3SARxl
TL7XAtcrYvSeoVruTqzsQJ7N5jbTvNEoOCoJ3M224krfO4A1xrtI+RNScZJqwOAF/KvnxJ9yxXIo
EtP7wNPlb0yP2eY+ig34BKSrmE2I2B5YR7NM9XFI0uHFzNjG+bTf7S3va/CUqTFQQ06KXa4qavpQ
WzZo6WZK57eOX9QK8eHnf4tpCDBsRFHXAF9uDejKLBVWzs0CVbr3DbbN1SgitS2X4h9laQuXzJ7Y
5mRN3p94MkGKscImoi/oHMhaEMeqlT3mGprMKFLRUU6NqKJ+20GBXadMkNREidTgKvgSh4S2kNs6
4pU5/sLqJBfOvlghaNJsWpIlV+C6J9M2DReBW4ug0BJkWv6DT+OA9HqMOmNbh/yJ5RbyKbC1HGcd
2ladQ/XNqm76BPfl3yns8u81s4tygwB4vh9XflvV2YGmJG70jnMoNra6D6YjgrjpTgVtAFLBLxhs
rUS4jHHvk6QxCp2EGM5SVYkD+1lils9XmFzUWgHjnwITkWjn9DIMOA+k0bUvorLs93Jwp73obAb1
K5puTKcY/htXZAnBE4KdjgED2AbRY2xIGZvtYn8ZDyZgo2uDFZaurae9zonhpP6pmgdjqMcv04aW
l07CQUYt8pM7qmxvdip65rZM/UOLiOQF0L/+jXvX+YMMenqZuhJMoqxuAccSxXLrBeTkqPqWjeti
v1+S5ty2WIMPvgDjAsXXBhOg5EFVVZaGkpkm8U1ZkCZ7NBKg8/vC/Yw94LvbcQUM5itqEGsGttGU
7DMCic1jttII6bINUOjStKajaY32jkgtf1tYRX0sS1UDlcyme9mvrMMWTXa2nwV/8GDG4m9T0zmM
UWYnsEBi0Vzn0l6abQ+F7bUtpoLxsy65uyrVOCfaH3XJ8yQmj+cH0jivvEbJcAY6/szItWWXR2MO
2JFF0TdXc3ddVupj9gOAnFYWZKPz+FKKkikZWSLVs1yxkSUiUnh7jgoe+F2GXyUcE/D8vTsxY6+X
Z4tVwCn9IVJGsCl7L/sLvR4hprcQrxOV6XDPu1d9mtgStloOxiHrBnmoLSfbAuz/g9BieYTN5N9T
uTAoDKryY16Bmm1gpMmpqlEcVUhDd3lQo+Kg+iZwaYV1mo0A0FqO6JsE5MvmVuERPFuQOn+RzscD
FgN7wEVVM1XYTh1lPH1XP/x2cVf/6v1GPWnCGuyTTKr8o0aAHj/MzgCmycyc6ne98kkjmPYVI8K6
M879D8Z0ZkyZEZCqvFuAHQ2JpVxR1P5A7xZJcsg3cyINIJhxzGFmslNUW7BHpORZLV/Mo0E+OZlV
h3LqOZl5c8Ubuu1q2A2Dv8CWTmS5bSjMMNZKnR7mZRr+rThiIGeK/zZX2KucwL5C2Gqu04qClSsU
Nq9rpFC9N7cAyZgjvJJ+Uh2SFSebrmBZuOXumUErP4g5ZPGekeWeEADVc9nMvDjsYOgyEgRQfJEs
oCE4dkgTsn0z28tX+0O8xUQxf7FVjL6HXrPH6HsFhoMlAkp1S89J/iiwnF1442EjWXx7FbZlw1AA
lmv10JLm/kxhmoBVjNnQOCk75m09FiB8+ZnxwQqy+leQs2ILpV1Ne1QFLI2jHIbUINvmk3Yar3sK
DvQrn6W8OPDJvuxx7HcqYgBHgWdEl7gGtspGQuYnj19pF3Nmrrsus34fgLl8L3jzGCPUnrxPE4lE
Jhhr9xkJmb52PTN8EDn8bl1Xy/vaT1WKAx9uJAxnktwtJ64fOfXnbdd5wXKk2CFxgjDk+DUCosy5
gw/A6a1AhW4ZIHfqIoom8ENZVYa2nttffppx1UAqY+xRthIK56jHr2Go8eklK9q5bPP8wU6tzmHL
voLd4Jeb8JRXGvTQiZHG2jeX13gZgheSNHPUJfyw+xScHgM/8GVbsqWdDzOQKrnlegweWydh5sQB
4/8ZqC1xLWlzjvY9N/NjFc8IlOk9YZOVg3+0a9uAv4owfSYe0DePyM3VQSJ/7jdSdN5TumTQwP1q
sm4ut862cePxLWEHe4Mq7T9OP3DuBNTfU2ENUu3NYJE9JckP5XtAnoPOMnZvyg3Sh0wtRGKg85sf
pN3m/5W9M1uyE0mz9RNRBg44cC73PMSwY47QDRZSSMyzAw5P3x/KrEpJla2yNjvnpu3cVFmlSrkn
wN3Xv9a3vpBPs+8bhBJWou8I8cRw5dYdXOODJ166Y32WOzH56VeYaMR+i9hFqAygj3emIe/NHiR5
Nadesg5iO6EscPEr0LwenGJZeW+ZN8yXwmyNz5VfpA/md9C5QKY4l8PkfUMnTOqrOeoWd3PnFh+2
o9XzPGL4zuecwrLaxYNNzBgqESZp6OoybhmtJyVPoQM2EnkAmwShOULF2+Zd3e1N5apzEbfUe0yJ
SYjOrVGGpr7t10jd+cnMkG8xrg/TCxlStWUCxrTKm7zG2wBvwCplVTVdL1gRIM0n7ZagWXLWUUfl
QtG/avhtq3Ah0EN0ohy6FM2ncOHTszTVJx3b/jFpa548TkRdzeipLYEdJknJwrknfMV+zIifBVDc
ldMKuLULF18AyK8YdHfSbo86Cikt8xVcMSPWe3+M6QtLpvBruPD1HVHx/MORgflFczo0lLOvChXv
R7YIzkbogVlbUFUXvaiRTVp3Owt0PlSDMTs3kdd/QXSt7zwDkyk8U7ZG0PGrR4e1byd9Im5jHkQQ
GMh/VUF8n5Q8mjvqvtjMYY4dITmvvKEKz0xMkn0dtMSSaeC56pfiARjH82ZM0JhDqSjg9FHaWImz
7VCO6iODGjFu0zEnoJDG/qe0EVa0oaVDnUYukDURpvbcNhiUKL1MT0GXDe+z33zMNbBWnJfhspxy
GqvjMjzKqQXgaoh5zxGI7uw45lQL1s68DhJC17Hn2uuGcNiqjahoSKjIuVOFCUay0bo9S6YpV9QN
1MfJIA2x8d3WvHVnFxSRQSuWXYWPXPZ30onOg+6f7Xl0Lo6X+bT75fMamREFnrzqip9zMSNEDBqb
ebG5G6rEvoeY9kxeL34xsS2tOX0yzwjK5kmaSr8DqtQXOQsGbaZU6fUESPsgBUGaiomWvQeThevO
XFovJPUXWd21t1nhoBF06tAvJRlZ2dOXYeZ2/4ldJ/juzHVfu6kaPtdzd10sfRsdNM1NYy0lHMnS
xyGWZo6I7QaRTXL609LbwUZvBt1Il0eaYxSnnYZ1zm/cTcRRedfk8AG5RA33WMyFuKmkNz4qj735
1GXKRoM11FsTYq5WFkinsujjFcPK7jMj2miXB55m2h2OD2FETMT0lUkMz2d1I327sw1LvviArLJV
WUfR4nUbIPyxG0ER1l5DFqLJcR7i3ds2RgP0scr6knY74SmWcKuhsYFTG6dhgykkMzo8frHRD988
9D/v0Yv0YhQTZcnJRNEcr1hNPlpBAI96h4Ls25yUn3TUIk9gUs5DvNBpHV2KtDafSTRUbL+z4oL3
XXwS+LZoCcmtjy41KmsFNBASZ83vcOw53eykl3OQ8GadPGckRMky+LVIHuq6K8uDjhp/W0dS1VvA
iTNVRvh9PBSgIxP7xYSo7fJi0TghD4tA8s4ExNoOGQr1ymHyAdDYYT7CiA4aq0UYCv7yQHEJM/8H
grXqXeQJD4DOKg7CTfBtUoBpd53C4dsjcZojOgvnutzayLByHymeUYeunG1xHekJLZmIYdpiNxYz
tj8KiY2drY1UrfyxKP1nxmTC3Nesmjbk0XzZMhKuGmtmyW3KF6ECXGRhZzLwT3GjfKtN3d/4sxO+
mACjvVU82cTjMuWlr0mZtCcUnLLa+ZDuKU8FJ3oyvNQuHslozQ+lsgZ5BfFPdcyWNO6/mZAPnmsD
3RlVYq9s7y0o8E9tG45ve3shMPFESswRP6c7X3PoZG5csmLtxhEodhZ1Iw0vtvFY+5jpiV8RHwzI
zMR9NXzilkvaGx75kuaEvkhvrdB2vuRp77+gzCD/sh6xkyayWsKOu3GDuvnitFBAqV+ObKIqvYUx
Ls4/UkqlwkPjp0mA/NBmFDXj5kDbCYrWZceHYLCya9GqtaQ2AwAC0bnrNCOsxrGwj9Aj8gaTtq9r
5Wx4rvfjqgby767tbqGJ53HvUkHhaG73DtCAuwrNQtmHjpNYuiu8CYfY4A3mps1cRSVNW/evdtgs
W+WuwvWedHn+SN9b6a5DFMvbkuML/7Roebgz+YrkinU6k6fGLZz3yOgcJqrMVdbZOGXscFiiJs81
oMiS9jyNQS0/Z7lVv0ii3K+QNvBqRG1sXCp/yep0juMzdra7aedPii1skvftkZ14vhuwc+XrcOqZ
wxa09TbgdRQTeDf2o09OM9X7UvbyBrccVhtBOQEeDK/H6pz47heJ/kGAUMDopT95KeFhz/OadkZH
4ZDsG3pEpX0pXAYsOaVT2L2Und+DMmoOY7hAf+OWs8daBBGGG6uV5ZWVWhENPU3BTVLYGfTYoaja
Zh+KgprZ1ajCgpBI0Ib9tieGtc8Gz9GYjkL9NkgOWHwSv3vGmdaTpO51wKf2JLMwkamZnjdoxZg7
MnbJfR5bj77nYxB1FAUeYUWr0Vl2cJywjgzpu6BgDt0i0Ya1g+ZoGutiwHd4Crx+fknLnkMXl6f0
N1mkPddaYUKhARLr/h7QhDwhiNBcXvp2uUetzT+Y5IprWq7A12OAs/tV0XktNANAec9N4KYvzWhS
v0jEEWvuOPuYkjPDwzuE3Q+32cilcoKCQkEghkkm9v0QBY9F0nKaZzZkYla30s/hNGIv6IVoBJkV
P6HS2rQYlwGpoiLU1wRB9xH0dvs8FkM/b5JUe19at2+fQArHHMaSgos6E0h6q0TR7xvF1FEucRJS
FhmWunRVMUuM3rWXeGctWrTSBFz/TUqSsmM/0TY8sNMIB1TB839m9upEJskJNUNaK62Fcc+UElgX
I/ybtMg1/gxGqG+SoeZm9pr+jTupFVdwQ/p9VEddf1WbAnTXaMB22xh2t1SgJGm8I2FG2iIkvtxg
NWt4ruhSY6ZL7cGhMaeaaenuVSMxWxCTWxkyGKG/ZjW9lPAbVkNtkj4oDYzWnCINhqWtbqi8JDCZ
bkWczHeiCbN677MzajkyBd2mMbnnt0PihNcjXSvjmvQc/ZxmSj/AmBXIX5kZKGfFU9WGmVzonVGN
Zn81jVRikPdnlVnnQInzddKaiEmQzngOzHTJ3nS4t1GZWdk4gsmp3AA/hZ/r23kr97TVAcI2xwix
CG4r9R6G7sLrjthTuMsL69uQGf59CywI5THF3uMYlaKnJ04VVYdxXkO7zmuK9Doem0R1VGPcRRw1
/GeRzGBc5JBwgElVw+JiDcaOY72TfHOAyH3K2ZCR/khEco+K64BhLN1mE49ecp/l/nTw6LuGM02d
7TNci/o8T8PCjovZSZd+nV7yJn+tie9tq8TzsiN4cRT3XqgVHv4h3PQ6LN8Z6BgfVVJPj2ke9MYm
rpbqUo/H7nTOWQqx0Pl5ccMZUvuHZly07GwIvrCZaz+bqV88zRgzyfPWY0dSxIhPhsWwaa2q5ROp
sLcxE0nBQxX+pWWAGkO1sHcaQeGMpOOsU9vtL505CcqrisrGk+2N88HmwsWxNdb34ay5A7CgkjcV
EShOIgwMeGZfQWbHCXCmGZ1RNfpKtJtHSKw4gTqUKKvuSN2EDkVNB5/LF+NpBYtnEybxmN4gNmQU
583WMF/VNn78A1W+NuOZWJFqSjJhUU4YP8SNI9coidO7SYqGnG21qU0MnX4z5yP4Btz9VdBQxEiC
yGVtS2P5kHE0wcCGcWppoI4eW/IOj+xF8RuaATABsBIuNffUHmDP8szqWyDYOTN5QQdYQzQvvoqO
GN7at9N8U0qN2N/0SbOeBeY5hzKKnB1lK4v9/5PJ6/+6rgPbhC33u/nsQ5Lx3P2RvPnnX/lzLuv/
I6BagCQUODJYBR7j1z8QZb7PXNbkIGL9k0P2z7Gs/w/GHMxuIJdZ7sLr/Gss6zGWDYTp2wxR/6B1
fq+RiL5Wf7LAul/+94/Ma+tn8CZkWWfpSwD14mOt9h2XmfGPPEdsvGY5loJ1lPDUaV4yPhzPrx3S
SCdP49KMG/Rbh/7ILVAb/ZSMWXQqrZIzm8lcysIdtoJK639J487ahKr27jnN4FQ0anVdeIBJfvhm
/wZmtuAx/xoi//v7XUhnP5DMXOxtKiG9eAgSfIUTYfJVjVESWke4MWuaYkUTcIyl0fKPq/+L/j9/
fXM/flP2d7Tl7176F1BoLZ2ibmscvElEHfasVXqT0UyyY1pWbYlYV5s5yGmOtIiokPi51csiLZsA
BjXm4zXRrvYwzaXL8HEsVjwViDMw/RaBgC5Z8+1JW9/mdhhdh4rZBZZuaADwnw7dnNzXQ7plzPeU
pSYbAFYInMt17kOnAew2byboL5cqLqp9rIr+YSDXd5V1Hg8cKCjbvBbFqQjM6hqTX3LdlvP4Fvej
IqVeV1dYVemVK+Zm19Zqa5Y0yAPugKa4NxTGnzKIsXeOlvnkjJU+esgR+5w+QJT8KNmlaCJpG3QK
n5ToMaWTYopLyEdwGKE7RE2ybWMXdJxIn1wZ3vbTeIeuQtfBuBlz49XpyuCsOHCfpjR46WZB6zMp
5RYJEVaBFFfpHF0Tbk6wuHmgpSdKZWlQxcXKqjn43rsqkE1wqpQrtNgTQ3LC18N0q83Y3XUoFdve
DO21EdvqVOMM3YV9yCM+T24qvOM73ZoHiu6YZepTOE/hJmrrDVuPlWDHUaXNSZIHWEU23BRwrZpO
gKLbJTNu7Sr1na0YcRQDLWErPJnwy9OaqHGCZcFtpfmJaG+0ldFIOMW11HRAILsb+8A+cdcQ5ezP
4RSgEvhigLiuHzXw+TtdaLXR1Dswx+x38Mbqg0nTvVXqcZsQe8ceyG9CcQf0rB59d7Dt/CqIFx5r
ajExl+HRL6W5p+80PDq4F9Y+KUyIbeBJcCG466AnODBoutUNTUkD5B6D2OV6iAta2VqbxlEawBPF
1cxyZ+yocKPRyg/GFcTsCVAMNao6oRPOHIrPzH4fFXnvlgVq3+BdDGL/0TSDTScJqwrIPRt3pHxL
ZgP6qOJQ2djeuvTITOTCRyEGSzIGYMOGAJQJvyZlj+FeurRadPSD2JMPzb3ON3bep0tMFM0tT0Gv
YqZuPJ+sYj7eW6Vpng3m7Cs5aiIO2IZXVa2881TV2QOzCmMzkZKCtYIPDs9l5msOCmjPq6xPb6Sv
BeMPT+DV7dVaMc7ZIIztjbHdu8KgcUhG9wh4HLeK4EwFxZHJzH3is8lrJv2oNLGEOlkrFd8MjQWk
zUXDg0ehu+c5b26/u848s7+PceQ/CZAYOzw4uLr79ywRIRySFo8s0MSifOwM5AQd7Jq4+GJa5VbN
CewbDwx6I7p4TbvKDd3nWGZmBrJpgzwa4GWwbsmBntKwFNeFbOhODafJ20XUXoGdsavu8zLk5nsv
zQfN4bIDV3tvdMiVmEDBOAaD/jKAql2ZJRuGFRuI4D3OcRgAtkiOGlWZn4qp0Xrs2aeFTY1oMymU
vnixvDWUmwJ4Ko8iE3hooM9s2iJz7/wQoEGOFnOdmk1/gNMUn2yeiwsa5qkg67LsicbzhMjy2AY+
DwvlUKgLrGU/xlZ3yHP8H6ux9JZ4nzaPQdO39w1j/MvYk4FPKobY4Zjyf0S1oRyCaaPKW/NKNuFt
PU2nVtjTFgfz41Sm6sQAi/Uhczh0zvG2raEH5JwXaVGFj2yIur3Bdtsjs5H0UhySGQPBHU4zuMNB
1yXHiNDPCkKguUfRJilNDQsPO7BoRWmcvHDmeZc662L200M5+ulGcJ49tKM3A7GqvpHSPTDWVHtX
Qj0yhiw7dEHyZhuts3WS8M5LyI9YcWjsNKREzjqcd0cjtY5FnZY3c+ve/34BtX8m5n5fQX1pse67
lrDN4NeSCwLMY1p2M5UCQ+HBaXGEAUGaaJufe97GaD1jkzQW9d9zrQ4Zp7ebcLm7YmSqM0Sj5oxf
HwpwV73KJG3vQCsHmyxuefLRUFzeuN68YBFMfCNDHh0Set4OQmvaQbDjbjoMOG1j+gcOOt9K1Akk
+GWE1BaY27ndkBnef/95F8jqL6v2Tx/3F2B16uQ5eGnXOsCDC++7VttrCpHooPAxbv3+pX4mif/5
zXoUPpj8h+PLXwxu1kjRkco0WaTe+6Y8FODJdT7ZkMw3rVu//v7F7GVn9m8f7IdXY4v6407ISELo
k1UqDm4yXCglsV9snDbHdIw+rKRdfOOZIkCWx/iZxXxQBnqIyGrgezJS10GKYZ1fctNxaeay0bu0
69XSLGivgS4Wm4R8/tJ6SHO7St2NmKryYqYxzt6Mfj5OPPzbKlqEO9uAL8lC3SxLtsPa/fvP+Xe/
n+8K1/JsCy68Z/78MS3IRRZxO+vAQJlyPGZWRTqvegah/+GFfsH1/vHz/fhKv2yFM6UJ6jGJOQxR
7x6cMPhqzQwCQQtQip7Jz1Lg79GuA8Nw2SnUHjUhv/+sy0/2y0/Kjh8Aoid8n592uXV/2NwyW5Om
wTpykA3TlEyGdHTZeF+KQBqXZDCWjGCTZ//hsv27D/7Ty/6ypxZEZ1qzGu2D4bg8BtqFiUAf/diG
GQdU0ziVk76hPpLakWWX443kK37/wf/2LfAjY2e1/MB38Jr+9MnpL9UdpYvWwU6wUXQsiZRCk36W
4Rr7gUFYVuJMpLU+teUnnvrN7vdv4G9uXSxJf73+L08JcoldZZVkhlTef7K7RN+oMrRPRSO5iY3o
P1DLl5PCr7+z9E2slNToufz3z58WQofRqopZtWt36ZU1ZiNqM9PU33+mv7lz+D7/epVfPhMgSZtO
usohQqCt1cgHXHVLar0Aqfs/f6Xlo5jCdzmt/tuDrw76cp6leZjDEanNt15yGRyXwsbfv87fXiY/
vtAvzzzOH73C6O9wd9be12RUtylktj05lRBlu7cfskiR56XYJiZDwUZZ1Kq+/g9v4t+PzI5J/SC3
qIk7mrP7z79eGGusWAmQTJhP9WEe2+GxFo51pCbJPtQYjKua9rBoiDx6nia2b1HcrL2GUTC+qnea
+cAM4z8F7dp15TmLihfZ2oBME/GctgiJv3+79r9fbA5pMpe+cnN5x+4vlwHc4gwbZstbi/pzOSGt
WjG05WrOzTVhmWuqkugD6s1D38XMJKhlX3EINXYkw9i+u2WOwM/S0Q7lkW1quE0ra1PUnGmglOC0
1s23uh6jo9kUbOEIVVgeZuWkwOc5TL5c10aitvUMs4OwRrMa8q+C9NtqGptibcrBueq67o8tzv/t
iMD/OqHKgnnkC8fkrvjvq2LWcYw5J+mi9zb+UbL64S//i6zPde7w/GDV9QNkqn/JVuY/hOsu9ZzL
XocoIH/yT+HK+QfpA8vkvggAdEmL9/JnnsDy6JIBQo/QZPFXPTStX4Sq3wlXVDv+9BD1ENIoIUG4
Er4IQPabvzxEqa3kwoZEt/OcKha4eem6GruUs+UULKW+NvN8NJMM3Xc1REuft+fVjFTATmLhVlLh
CQ3Yt5SjhR8c0BL4yrBorlzPyx8ypqePLuyHY6Sr4SKLMj6TQOLc1Lpese90Fmw9u854onbxx2D7
M8a0Kfe5ymOaZ3FM5M9zVJJ9C/PSP7MzBhAWC4n3aQynO6mrAjbu/BD130F9DN+IayFcUIpHGLM9
xz4wfO1jwdwxUegzRpCRAqyWT8a4L8XYUGK2WPlwopkPoZvkr0w1oweoAhBdTZF+bvwpup7ypoBd
g7Hkc1QF7icdO7B8Vd++j6SU1wFGVIBIQUIoOpfIHVYmwCeF5UV3XX5bz1m6LQH/r0qhz5HJIN4q
YrFO7FbscEdElJPip4Iua332E18XhMcQV1bKTzKA9jL7PEpwnIyT8+AjqoD14kjnqJZ64AHwFBuC
IL8A3qVcrC0Bs8QV2EC9StNInIjhG2ui/M5ayZRsYQXOJCnDcOMJzbl47ko2oWmJdWjWDZYVh8KZ
jW1K77qXY/qelE7x1RQgQfctxmpjBdG3o+UkmDospBbuXxdK+aooZsH3sCQe17LE5gtun1SgkGN0
rXwO2Doo6zeQLJ1aFz27n5XUCXZE2xNy3cJzeS3yAjYVZSzxwe54HWuyMbQBT/GDNYsRJfCMy0qi
1mEbMJ0PKEYhuN5/MO4Z4x3sBn0A0RjsmdhOZAMjCXar7jFFe7bPLIx9dvekHFtcMph/V6Hsu0fI
VdV7hKsyZVSED+SsUMbqNXyf+ktDTP2tCyDUM/9lpVkFaVt/ssDV1KuZjWe2T/FZP7DZDi6OY9GT
DVYyuEqhl16KuMHCCUPREmtGOe0dnCT9DOSLUERYmMbXviatu/Etq33Fz1N8Juxc7X098eeVCMZH
XBtEKCNV+Bi1AVcSFRcLMBaPZnlWKYTmMRcjqiKm/igex+dAMr5xVTUfbaDP3LdZw8QqNoA8on5R
9WoF5qaJXN2AXRJ0BHFzLX81zJnmtjlDajPpcGE4g/SpmUzkBeIm6ELh5Np8iWggfYX0ghYALBkK
fYhIt/LxTlZ7pCUOQnZjktsw29FaeQ21mnMXg/0M5dcwF/PbGOmtFVZruxjtL9UQ+MnazNL2M2HA
Anir5eg3jalu0yzkZQwA46Me+/oqBk0FVsMRJ8gLkGHcSPHHpIq3KEbdy9x5dBREHQXpwsfVBtmv
OsEwkmplT4h05VSXu2yCosJYLTxMU0x+YZqpZ4N6NIzIVbUdt/ueSTG4bC98DgTNhyUej2Ajs0Cu
DQt7DN6Etm7WY1QwDZxLB14ofg9rXYzwnrYizBzQP3GTfE37On6avTg+4+dHDGwUnp6V4Yjx1eBG
sXaNsFsGpw2T34K+hpZbhPw7g2jyRKu5cJtLDfhi2tFbwPC5mKE4oyorhqwuD5a+l/0NJnV6Jaay
An0O2Pq1M71wnRTlR1YMcOnKluf0kOfyHAdZbG393nDFag6aJ1OJ9Hr2BTP1INbDixNG7RV0xPjN
GsCpr0q3mLe94GTPBRv66HoeEZJ100Ci60oYNlGhvpjNwsfxy4EAli/cJfOUNx+OEVGWQPMdM99S
jeM11P+IKi4Xe+mms1KIu0bX+3gdx7SiaxDcp3egujj2MZNEHH4ZJXdfJ8JLaj1qD+4GnXuRMxQE
VdvmFEpKHQq+qaVBF7wRudwcZK3o7C4+4DgUOyeRyjwURAww10Skj5BDJccvrAc5SIvApEyZS7P5
BqjbP5mqEhuLrVK/8hl3XqsAWCT4toIYAPvODfVRzVvidSbc7cD371TdiufJA8nOBCKDVhBX4ilo
h+YVHp8P0TmPsPN4gHFWfh3Zt7Xyy1vCgN5TM9G+wWNDcvl4HfCB3QTvo0AnGK4nTy01UdqJngOr
N+nTqjzrm9mYln/mHcY2CS83p7bYn/w3pTEws0CJ7pr71i0OoUMCadWOrnzk2dReAbxPbwhMix1n
Yo9uLuj1a20Av2LQnhjxGhMrfVRNlVylU+i9TMscP690cZuBmUdBbmrYEVVyoUEC5MlsWaDi6L0A
y9I84w/Knmp4ZRvcq2+16dmPqh6cC8ldsekhGR/w7ZiPjVkZXwkLENBidNxvauzEx9RMGcLG+Age
idh5F69KHqvKNC5hxbk/m0qPfSwD54uRCouIV00ObJxKl3RVQFRwm5hlOQFysbJ4PXmpgwsi9/Vy
JeR2/Z4Qrd/p7130g5cB+1kK6mPqmY9qKa0flvp6rC/JBrwZnfblUm9P70N3VSyV9/Uok0+Jat9w
IM17zNIae2tfrj1ZJO9hP+GEIpN073tjCSfDXeJwcblrjJGtOOFQY1uOtINOfYzqKDp8dNeeWxSf
QC4QUiI6qv2tmWd488rWdI55VPNwgRfhHPslu9QsKabSaGOqvM12q7rJ456LkIEyeovXZufYe4cH
0LoCNPXosrTcEc+mBrobxwyAcObLbWWO3ftspSPQAzpktzwR4iOm2BjKzSAeTAcYjdUHOFEUAacr
Mxrkg+3ChF/nTmbtx84mk+dr/2aayT+ey25Biwbk165l6uXv9RSEb/2UZfeK3Ou3tskxu3ENAPit
cBDiZmYoNPJPWqOmvb0v80tClAsjhs1PTGXyGB7ajhAO+ZFqehGzGyB5TfUlq0v6M5wOKwssUst+
lyiicqPSKH4meU2sjLK0yqDzvI3PTpTSek1tNUW3MbhNZi9Mvo5B6HXEwKZUvgwGd2RZJMM9vTyw
frLCuh1FTJZNuR1l7b3B40FCWd/LIldvAAmru/Z7+k1EPUEtjGBnGWfcq2DAUrC39nTVymYc1gZM
nDs2sCNJ2SVFF1sKGws1ioryOWx9JNB08wKfoL4EXZpttWznG7+XEWEtoBW0zzUtv2jbJjPtHIX3
UTFHYuYYi+nGoCft9J3B3kJOHdYt7Jath1Hmy4zfwtr4rTO9Q0HEFN4hj2+hEw2fsZ+l/i6wYaYC
cAggxs/j3ZApq//jUzZLhrCGB/kWDN6jveQLx3l0X7g5bYdQZ1lfcFUuo+jiyc3y+5xBGoMe8olB
QZC4trHD4C2lXLek0ydaG1MN0doW/PAhNVcvtLWygoScUrO1/J58RH+zn1MZNleBVVX3OL7l/YAu
cs3hJb/q8MO/GgtTkExE53/JllDlnJETWUMpcm+0LyGTkv/VhCMmczpV2h6mQxZw1D6ROLNyqCHR
dFC2634J86jdh6UJ3rQ0RjaXUe0tNcutH9BGG80Hi5Xrq0E46WsUkQnZ0gtJKQbAQb/dyILfeuUO
pCv2ogpgswadwLWUp6+zYcDmACxt74apCljb4uHZynCde5PIaaPp58uc2Oqr/X3xbSErr/jiKR0a
o/B+wgH0WQOpvfagsj7C+jtbDR0KtBYN8j2uEkqSsBzHYERDptcAL6d+NczCvvUzb8QdG2GHiukA
43fO3aBnfuQw2ej7dD7qoel4aIBaw0nXC5dGS4tAad8orEJm0o5YB8z6i2M06jBWbXJd4Vu7S4qx
eWmBfXx0jRsc8jKzngeIC/NaTzo6glrsgAcBLqE7qVTR0Qic2ThmGCIPoO80sCN7slbuFKtPMYfk
fKVb1V8lsU21QSZ9xSjcQmzjSJAcZDuKQ00ZBqm1MA22Fp1m9+4E5R2La1nXG7tmHA47zp2BugEZ
AtBbdaeiSEPqrbHWAWWDRX4hvDUfKH9Zdjd2n+5ds0sPvsv4GzucJe4jrszDCL3ws1/N5Oo4ZSte
wS7yTQ+56sEkV3Epcqt9yXQzHTPLhhyKEXoiTBTO65qqE/5kMNli0P1zxgNVX1VBRN45seMqXFd5
lb4XVd7GB6GS6FZUBR8Bg73ncD+k6V1PP1SrbGlzuxSQN/L0YrQJIa4p7wEKziSSolhbiNyTYT6m
bhjcg72ct44/w8PIpx6OZkqbJSPVwe5OXQKJeyNnxyFr08kallljwugoE4OjaZwuizIGxUOrOn4a
tvFmAWlncMf2pFiR3pNMguYqk7CjswE/OiY0qkQcJgwqJMfhgtolO4Z7KuskqeA2Jf9CzlSSu3Ri
aB1g71tAUh8FGvpu1rqgzg0A7lJ/Frf+GupncgxwAn7VUQYAvM14khhRGNwRc2Lw6C5nCkUKYYN7
aiK27FsAMnCjXxVS0c9iDuVhyDyiU/0UNzvwuvrZEdh39thIq6PRDOEnvJ2L00rOOV5ReBxHu23n
6IX0tmID6I34Qb+rM/9fzHqcaloe3z8KqtKTTrXJF/WTHoUzyhMBQv1/r2VdJ9SjvP/kvEKP+vOv
/aFiBfY/HE7jLv2LAVyGf0pYAW3Iy0PeQYfybQxCqEt/SVh4onxoGSbsSgu67b8kLJAYgSOpm0RJ
tfi7CN3/Awnru1D81xjA81lMfTOwJb2lluXyxn8Wkjnaw0WziuFQDpD83Kys96PbFPs2tW7stguO
STi8IbdqzpD9VxHK8DpyC/uPC+y/NTbB+vhZSfv+PoQwPZQtUvAQG35+H3YQEc6oQjwaWZcf2Dbt
HDvb0UMm+ysOhg7NGPJCKpa+QQbj08KbpS3pOo3hCTSt/dg3Hu5PTs/PM8wmszzbqa7Xia+w3Cty
rNI71xbG1nGgK8pVdxNNalbIxJmcu7kx+ydku6vJhRQc0vhYdBcyDLfsF0/CruEWyF3YFS9OAaU6
ZR+Sutljjwa17bA5o0NUGxNq5caVcHJWJv6dreaFNqCrJmdVJa8dyC57IpkWTtQE2RdGPbgkF/oE
X2xHE+RrLClMAcgEnBhre6Xl1VBSE+LG0XoS15VR7WQDZs9/MbL5nnbmh0byLIz0gR3GqYzZ3GXg
yb3mQWv3jegZ4Qqd3UBcAcQWDZxpnIqcopuQUS1uWn8+Se1+Jd1w8M1PeDGevIiXV941dKZ7GVp7
BnJbSxubUYhmhYISrWUg1mxht3DDP1f58JE0tjzATKBRIZPfBN14x84VMWEjuzg0Wd8QqZzPyhqv
4YV0ND/G+WpE1kFheKCL69ia913prSWtRRt4Iw+Nji6WSbYIIh/fFtEi+P3bhN2tHE9Naj8Vvt8Q
DXZWsntoSv1tgJSnO/NtJvYw1Wawisf6ldnBbnKTM/RCd1do+GshHV9e8PQ9++PuTGp8Vw4VLBsN
VG8yh5vICF/DmiAVELfWC7Ave/2TZVcby/qoCjzF5nDuB52iNBJI1zP7dsUWHucG7Vj5JtDqU2oT
bXIU64TOXz0uTZTHp6QggAqU+oNS+xB/T0E+BDO6MI1tkSIJKNwKocl4E7OIgtjnWeOag9JLWliP
TvHi8Uy/TanReRnmAt6UcxfqYQBRTGoNw+54ZFXYeEMGSBLRpSkBO2Svsg+/ZkZFJO22dp86GAkr
qzGWuI55J5RHtmKcj3WUvjhWOR76odpATrvMoXc1aIDj0iXrb986013r19ceXUagcfAKOlN15dDa
0vfk/XoZX5QO822UqoONBIWaq11ylG528OPLEFlXJYTbNvgv9s5jSW4lS9Ov0i+ANsDhDrGc0JEi
UjAVcwNjkExorfH083ncmR6KO6T1rGdRZqyyIiMCcHHOf35xxMkDGaVDh+z59zEGleBa02u1kOPH
KDtYYrSEBeaNhtXc1r5FYRaiMokde4tBNv5i8Vll3q5O75kAoCe2HuDgbSycGzNzeTG9/DBoyXEX
jSsGf6+QEdY0enuWhguvXeRHu+wJC7TMHpmkc0KMdhUJ964Qy3M8CAVm5n6OkYOsUyIvnUXBybB3
eKvcuaLdCzGti8Vzr6EabsM6+sqY6N4KEr2dxJ2PanZVd+oOOdFxSv13DA2Oca++lal1xLfrYTZB
ZFF65rs0Kw4K3eRNVsNILN3J2+AP/RiilFovgXkX2m5MSs19A6phtiZPHhF4aBpHr4pvubdGtF82
3mbNsJNzjHOYo+5JQn3Is4SxMHUzvfx+iAK5jlXEdLWtzqXyN3J2XlDVsVfaaiMSDBZbhaR6KgGA
m2dcd++CoqNHzSv6/p7ESdd7Wcb5kztiLjn5t5PbXZfEUg1582QSu7XY9ecuU+8C2KgvgxusJj5j
w/eazowiuorfgbn6bGDMMMzbxY3F4yyNR9/j8eRWvcXQ5wqH5xg4nYTDGldckJ8mAWkdj2SWHISw
90tTfdhpvgfF++KFWBCM5PkWVSRuUSlCcdTe/Vbtfadoe5kU7hNlKrf1SIgJ7nbrCGvsbW4DN7dW
cfAW/4vQote6xazU70z4JbAGRWI8ixIBWDtjfdY0p262XhHpn6Hn1VuJ3wLlYvslSV02Ro5NWocd
iB/cF4b3BHyhIwhOCzUa+JtLxGWT3ooyPC6h/F6HhsK8M8xwFQHe57EaQXCbDli7p0yDZYlL9tzk
CSJZcgDxiFTrZgq2tpkiUK2P9KHFtpfGfVPhUzlHYUrusXHLZKwgHQvtY1nt2yV7NDtUspABHtqs
3zMBblYN/EQ33TZ66uDbRwI3rsZ23GKw7ERak+7FhxLMAO06OWNEuqTPAcFloDf7lHYKiAZTdg4h
swx2XRTsq8bZVOV71BYnvM5fh8Y6Yvew6TJ5jbPDYRyqHWbDcK7xH/E8gnBiYKsUzWHqfqqDcVN3
8jDHJzw5Xuc8IiwnIwipXXuZ9dZn3Z0Yh0OKf8bK9fdxF6QbCFGHxYiwuBiaJyfovjRpD0gjp/TK
aV49AuoVlb8zEvPqC6TNPWy8m2lBhkZM6Qpd8YOx2LfzxMlVTcRlJGx5Q7n3aoq+V3hkAlchxLuL
pg84uidTObsE6k5j2jhLlfWWjmnTZ5gDwwkdxviDdJVvUSjvbKc72U5ziAlMMedxayKrW6nGf/MS
gnj6jw5XOvx67xdglVY1J1VPbMLyjS3yUmMO4Gbvg5diElK8h4ZOC0xuerO/cxMHH1TF8RJEt4pD
C2nHQ9MCvo+YkftkC1T5HaDgex4aGSRQefbd+jQQu1hO860bxjlYD0l/PrkHNqo1q//SL/1bRP+Y
gbOlVvJ1aYpzbs/XJIt6FeFOgPUeZmNIqqrblgxGWj3AXm81xp8gZNscCkSYSY5lxpLwttey67fd
RKNm3y6Jdxzxezf9+PvgDVs7C5HyMzeTZbd3AHwHCARRat6WIcryzK9vQpk+NAVyqsV57PNhHYHn
4JDwObotshvRPicy3di1sava5FTBnbRghGAqFr+gFEN5u4htEfGzknsXn+fe3SP9Aqluv0kfBU2c
HqaaB4jyS+bCYgxGPCvc7rDNrjGj2Tiu84L78BmmZrDtJJBnRmSaqo12rRD2EaKbP0+WIx9Ghgpr
J2ph/5omhU2JSxm9JQ1uc5UmZB10olwVUt1XEWY1yfxVBP0rMPTemNF9urJ5aVKdhZy8JG6zVWQP
OZCxw4liZnka6Pd6Dt4Udb6t8se6QgActPvZwquCwDoR3sIU99djNN348I4jpjv++AGeRPLAQ1f7
V2OOk1CH0UN7ZcQz4ZjuenqcFuKR2l3kYAgSlES2iwYecRRxf8Rbw+wfe64iLDP6FZafi/8cuuI1
HM3HuDc5D7x9HD6lcboHDmLWJ0nZ9nZV099MZv4wWPe5zQJqYbHG7wbmMBPcS8bR+Isk53HsDuRH
3cQVAB6ux4wjW2s91s6HX7xE7M25DK9GK1wlTXkIiJkrqnpH6ktszQB+3hNjzJ0nuy+I+lfQsvuN
0lipR/3QG+4rQvQSK7kXfEK2S20ce3FNROo6TjTMSUk64b6CR8QnK38a1DYsZzmu+zatfcKQUeab
ef4cAo6siyGJEV3mNz0yB0rLdoEVW6S3lefkXw0VwXcOF1yXAruhhmz87g0f1/Kl7iAyL9i2rwdc
JT8KzGTu/cT0IETbw7dhLMmOT32yOBXycoKng2Ed9B72qQoHKKXMr06RRQ+ejem6yYyQDAwcwA++
IGmodH2PRNncf1wGWzu1dNF7TjV8yHCdQpVgKGvbVWF5lfgepuORSZR2Zhds2CwmInAOD24jze98
pPcVifpyNnLITYxWu31gJtanEsIORO6wu/OiubkyiyS/xjen+US/R31MYTatBnTCD3We2k8e33ht
+DV3SxLheGa11XU5yPDYG7PYEbDFHbcY04YUQe8YwuFOV/mQ+XsoCfVtUSYE8WKKsZ6Uv4B6Ve2t
KNzgKmv69srvETBTxNF6TWBnVy40/9tOEpxJKP1tibKAegb/n0+l17kvZmPOX6uyQPXbOcEuRHZ7
J6el/IwawMcKWJss1Db7x2vD/OwlTv8GeK9GAMgouZNDp56Un0SPvm3ODy2S5pM1NupxkMl01+B3
cT3LlwGdJyl25A8s3fQY4Bj3bAAXDXhMzeIzlsl45NQoEOQyZXiQuf1pjBeXmCmN2zEWOmCq511j
hDWdE1DbeyIt8P21uvYu663kmMczimoNOPphDFqH5y0OHUhVwMAZv9gVIXh4tKzsgMlMKZN870dh
tUcYzKlC0vq8ikIoCmk2EmtoR+rV7gmKRRCevydMrk7V1NsHmbjWtUHoL2cKo/s8i+/LCfJED4rP
iGrosvlOiJmbtMrn4VPLypyZ17Rzvkd8SwZ4vXxVWWLQ8ba92lTB8BQYzrNXLHcM4z47cXaQKj8y
klvLBR697OIDlmXXNZG3aNwxkHHV2sBTeiMNHwcU7l/TfRsN4vSYga17S35z4GuA4H+RTbrFq2c9
hOkOt4MtcYWjdp5QJGlW0CdPXijNfRE0r5Mon0Qhj7HpnTLZb6S1rKPE5hv3+yE9CbN5sSzyBCuj
fWOIhSlUGFNR5s7TIIfnwLBg1oNhG1oZH6U382QcQ2++w6tvOFbkTG8U9FQSgQa8txdxN3tMKoFh
YZUUW6Iebut4bHdlQlHexsyFhdwNxOkUrSE2ZGn1r32EZVLZXiMhQbHs7cKs+CBl5PkHfOj+H3Dl
JxWX8zPY4UkHnr2JPapjK0nekP8L6OJ4CRWTcjDsyV5p8+PrZeqnu2msgAqtbL4ynaI+TWW4PHA+
RY8jmpknK2mTuyao8Q9rCe1581LEL+5lq6R612A35Z+U3kmR3lOp3l213mfWZcfpvYfdc/ppxCKK
0pmt2es9ioS8up31vgVHbl+Cy2aeQoDWPkuNqzBgr8961xO+WtHUleEWwkp9m5Netx/7EdO1IAy8
YxKk86awmuBe2ErsGHOGR0ufMriqjMcw4OQxO7JzaznaTy42peChLfV5GEXdJzMp209m2ebXnnCa
q2ppurtwoRvz9UknAsWZp08/R5+DSp+IRlha34U+JZu5i48R0ww8HiLMzvRh2utz1cAta5tfDts+
w6ZvTr3ovaioM1B1+48ygT4VwWx+GeyIhmEcOb6Jc3UQ/I7Rg8Qg6WvgG9M2r/21XSVc8pdLgIwx
BoD6ZsA7c/gW6Nui1PcGFhLzB6pZAiT0rQKeU75Y+qYxLpcOb7M8hg43Ua3vJE/fTq2+pwJQ6+M0
lTelvsMifZtZXGtxEIuQQXu7fAMkvPbILkFxRLbVC5585ps394C9ZEiK11m5gFp5L+bPoz8xE5lt
5CxVCACV2o6/7Z2hhCVBAYczNJw07ObdNitOURTFEH1EdKoGVp6d1ZiWSePgGBF8ANm4wReZq748
wBLGa8zEZm/X4vnbbFD960+0Sc9Zu7nXutzTBvMzdB0RKiFMze/LInG+eLUQ13nCIbF3UKXUZAdL
KgVU/8W4wrsjPdtm9UAcgg+VHdpovYsYJVUN3cIaI1Ys6hmIeaukwzAfMRBu8nX9yGDPPIyG/NwU
QDm9OdBJLNSVC8uXkQLkn3na+kbwlCT1U9YRhGaMSbNZjCI/jSaOcR4N+3eamFcD4vKt3fv+tq3k
8xBTesJvZ9yUDyknbOSRKRlmj97oGDceVNQtF31LxmAaP7kIT2E+tQkmWc5TbCVPHqEEzCn8lOgx
yuw+N69C2yJfcYimaOdMA0VPR5L4AHk8tkywEismGYWwQCT/EVVx2m+FxfyU+mOF8QKHKAsDotrw
pnqrvCrwx9ghtMY+pinFvp7xGrcGX5Mv5N6LGP8Tu44qjzjBHWAqsIrZfMl684G6EJcDB74T1cdz
VU4vDMaLTyMEmTvhZdFe9v3gESqVljeRW0WbLA3LfTfPFRogC6sWaBg7D7dBjOKGdjcI9lrpgWuS
O08HFs6kqEzt+1gM7nG20vgtXop3hXIdwkrV7DPX6/a5bzOAXEiBkE3crjBfn9aNhYK1q+AcYVhR
498KvojKQ3I7+jmlRWXSzt+reib5y6ZimiNa/sgLypcy6HjDM11roPuB1h8YG0l1DDEV5NpFsPyM
CLG4LjsVoGrFUpLhOSO+wP1mVW3+hFBsYRVwoBgQgOhiPmD0P2HyRNa3hc0Bukt5qkqSOkqHZ5f5
zAMxpVplScvVzmBxQ1WAAmOOz/Ms3sbss6kSuHow8zqBrXrh3i8WXJk5LT6cdnmcrdKhFO7J/CDH
z8ZhyBVbmo7w1DZi2Ng46tCJ0HhgPMplVcrm0wDR/Rk7e9wKXOvrVBLDourk2W2yg9VwcBkoeuiM
EeA6oRXdQL67JjgCPrTN/poaLonSoBwAkD4NgUIJ17tlfYi7oTxGwogOIcFCb4mnm8zQxmIAi2b+
HrwCgpC6YXkPyBnZ2L6M8ATOjLVUgF4u9LkvMOrsY2g45nVEeMwx67D6D0q3ux9aOJsqMCb8RWyq
J1G7h0lXVIOurWpdZdm63hovlZeuwYTRuUfG0cYmuFRnnLjy2dMlW6OLt54n/v/HWAWyvfkvYyx4
y5Ylmaj836dY/6P49iX/UvzHl+Lbf5zir+X5S/Mfxzbjv7Y/DsT+61/6r8GWr2jaHIzdbZdCBt7/
P64CerZFeYPJus9kSbne/5ltWfZ/8r9oT3cppQtRm4HY/6JnO//pMo9yfFxIlIC/7Vj/rdnWz1Im
13NMRqp8M0uXWAoF3s8zpbatybKJp2YfjUysEpWfi8pLt7bL0DcKGlIoMSlGq1GtFz89Ez7Mnmbb
rGv6mTkusUjzCs57TMHWwRi/DCVCih8e8r+Ugpfx2o/jN74irvamr0iW8hFI/PIVkYozk0thZ3h5
QNDdInWkie7SIv+Gy+4LXvEnp+03bSjaVeoADf8/fQFp+4JH5frqFzULNoaVN8qM0xlsfsUOHRj5
c0bZcbCN6kqse9xCV72PLA8Lk1Vi8T3+/BV43T8IkS5vyXMQhliSgtj0LsXyD4KzVuLameVZvSc/
CM95y33qI0xG6+Jvgqefq+7//UEOHyMplpiL/bwcSCJtudXKel+UAwSosPN3ble9lZiS7bBc4uDG
ZQ3JIqO5YRxxn2R4c2NM4kHhNXFDUpCxtbGp+dImjAmbSZiPdooyWu+Lva+m5tgTHbRvcplujQq1
appK0kKcqlo1/dBtUZvi9NKLewxtSaUIeJBz7XyG1300m9bbyLgOrkKQZlzSK8BltUS3c/CMcyGr
NV9wZvbUTk4AhVObflj2QgU6ZOfCwKY3a4LT4vnfUdA/Yjv++uc3pFUMPy9StoTJNBpwTItK9Rv8
4Q25SwHRPq6rPYwQDPmm+TNRMBtP4ooW4IKIwzWeAG49+H8RxAm9+n/+YKnw3XE91xaXY+TnD84r
361atNl7r40Il8Gi4YgxfMe0oBIUBW27id1lWJeNUNf5zIYu2kST0AteaDaJbRaFu95r/bWiUVrZ
FrnLsN+8VcnUYJ8lQbfWlilM4IxCbP/8zIT4/bs7FlU5+ghHq1R+kTyZvS/xR42yvY+P4aY2LjQX
gqPtwX/EH6Dcpm6X7bugy2n4YY7b1lHbmtCqtDDdneM/B5CcdqW6AdnER75F/e4b/GjMihGTZ5i1
App8/fP3/v1dS0fYwlFQEzBm8bk1fnzX1C+G2Qx8bcBQPaLmUIA/QNyKftCNU/nruu/8tSEz8bf9
+S8PTEjYFqajLFNdojt+WGW9yAOMKRoiU4dWhwn7WDlglPYXmeDPSjR9CEAuQLGDDI0fx4Hz8+8r
sgqbxDrL9tHsFnu3qdOrJojOf3mIUv8zv6xcR/quYBZloSQVv7z9Mm9cjImBjMlL/QjcoIGO1zJb
DgsbBzTJJveNkbtl6OgQrAV5rco+rJCUsQr7b1X0EffO7K8t/MPXOerTbbSE5iFrWeRpMop1Yxox
/o+MpRxj3qE5OYlpbo7x2OM1NzFqHazM3xn22GFRaAqSmdTenDjflEVUaYxJOHZb/N/aSFk3mP0U
EPMyk+3B35e1h3EgcOBKLPwJw1XCIAg1WWGM6UOyN4g+9Su5EwLIr/MIPqqAFIIuOecLM9vEfsjJ
YL8KCGVaSTv5aARNZNtHhDn6xcGYIE73junvsjL+AHn0Vn3JmYstB6SrAYN9z2J9F2FL9FKVnZ2B
NSjT8BkToGUHKPkUsTjWRpfyve2HIvaNwxgNYmuL7s0q2O2jPr1JIGlfq0lB9yBtg9jRQqxTyYdl
fiK/QOrjWBY4BGdjfIZH4dGB1WIdOlm9joV6LxqSnkOixR8HVMmEpyxcxIsD0TRLPqyIHz2E8Ery
nO+LKuqxEel3B57cesQLJRyhwA4eBzdijHabcoGQ6LCg32mMN9esWqYo2Bvjt+yR4GYH6x7u7o4t
Rky3is/YAulUchKajJYbOJs7VEIyv6He/5RY/hMdSM42bEjfDrxoT/Fjc7FgLJrZvJqihcERL6RF
VqRqDkRPuMUZRBy7m55IaQM/6C0wQbnKiZ9bN7qD8jJnV9fZR+E3Aq7+cI3x2vWSpx8Z5IK9HpaS
SM4Pbccckz37loG00GoGbwOj55RCn2cwyx2Q2vThAlrwJqhY5+RvGCCD1FcMpiryp9IPIzRYsbzZ
2Q0/FD7NpIPU6gUiLiHioYeBjqTFnoLwA1tbFkHEaW3Go7cxIoKV3ZYOMOWmzpb8TGpDdtf7UAOc
wfA+4SqyA2s6g7yVh4ikyGsncJ+Yl/IbKU9vnKSnttIvhsrg1DpNt02xMVlf1u48smx0B6qNUjsM
iuOzRwgznCf7wfbAwTXpxTNBslNWuIWPAbbErKVm4XsHBfo/6Nso05w91pZPlU8hE9Vm+s8WyFlh
lmU/wD8jrnKg+ITLvJAZx8vqY11tGPx7ZV7ZKw+Fydq2eP2tyXZBhIULkBiim9HEmALZHvkwHou2
7OLz5YvzdaliUD7jeMudhkSxuRaqb197fySnu4PCwdicreYy/it9v97GA+/ORebEvMUl/HriO+U4
p8QEgKyTabgpxxKjKGSNu6kLCoy1sg+j1QeWq/g7/A6WbvrPC85N9UD45FtZ8SzIhv+owbd0U36+
HBfkDn50E3W0N3ASFEnIBzCCXHUZN0jloIZsANWJQ+Ah0gxQDzEORf7iu6sBswxPCaJt8aDepDWn
EgdVCk2jelNkbF9uJ99kFZso+3bKkjC1nORjNgMQyKSE+oN7D7m+ctu0RbVTEwlMs/+twAMUhICV
W1B0wZaIn/Hb5cgz+HcHztoUku1GTWrfuNmZQN7LcTYXPIgoc06XQ6lXHC/QN96Sie8W43sqStxW
arKj6XeKfWyxVcB4z7MRJxjkEf+WDbzcSzcR6XvUiW1jq68dp3RPl1+IX+uH3hJ1rB70VUAoFvoZ
vtjlHVTCP8W5McJwxnI+HW+8MFFrq9DLhsSGVSBUvi2RxBHBYN2oJvlIqzDD7YSl0pgsxstJ50kO
Exxbn8oZDYx0FmPLaTLetbi9wm5l/ybsTECfhb9FKMAhS9vgqtNvBydLwgWWEqP3AqdOoOjVVC3T
1eUkjlFqbmIH6sOIApMdTJk1L96Tm1X1gjKgcPgm3rRrMXWmiuEF9DFmiDEh9jvMLHHB8s1046mK
66flRGAN88/re8VO+VKtLp5TRz0ALm8JS5j3doDKCx7JsNYrbCIjfBVVlOmcNDjV8qrGkkXX+Bw8
eDYAVA6cPt7Aq7HhIlzeLoo9TI3Z4W7EqU8XVOzhwaOTH+gKLudvpk/HoCYEHX4kmA38/EOdkFSn
7zhwcCKCGbvjA8YGcknqdBy+tdACuQTRzeZSDvcxGcw9Qa63RpDNz2ZUlwc3Z3ejngMPn9LzZa0U
XX5OvOiDsOQnZnszFwZTSmJozI2+bQKfczHt2AJB06Uwc5x044DAYDGNzgm3WXQjIkbHUBX1DrYy
xCOniZlp8VTx36E+V+4O4/XokFUlF97c1SdOyfo6llF3lGOBPbQi2XSyo2nTW4u/S/vRA6AClU3g
c+CzM84jwd8Kn7JqCc+RO/UN5bSMd4NVoZHx4nbvu9h2xlP8UdblW9AUHfqimtmrny6fbHKdrs0C
V+iw6j4lSA729DmxJrBbb+i7cbLL54KK2MY+k/igjW0v5gH78p1aaJMG+AU8gQrwqlGRizIH0vW4
zIyuRh3gM9fl0dMNXBpRJ9dLc7KtSKLJnqwr0w/PvZFB2nCx90Stba/FSP5bOprL9dKwnaqCw163
eaVbQYawUPZyvbc75vrRwTdyZM4K3HbSeTZoJ4gDkLm5btELrNB/SGoUjHajHBEMKUvBZhDN92Sh
YOsGVcG+KzIiqPC0E648dn79lvmoSPy+WlYgweQG2aQHpJ7d7lGIJAy+ZcDHQz8nSSRgQNbzb+ts
pdiy+l3Tq6sM+2uSrcfvaQflPq+9YDNOAVE3wvlaudjzh/PXfqJ4NiyMciKDPNTSwzMYpQOBXwLG
UJIyoXMsWEwBPCyTHi4m7Tm2D0YSJWu7JWULFaEWMt8bWDFiE0KZaGIER67a1gt5p2F0iznZdVxy
/sphfLbM8apxsOPz4hy2lW98h1TLHiAzCTsxS+AKbHxRHaduUuO73i3yIUyJPkjwy2oMO90UhMTh
mA9NtCGi7wCUbm7aiWg7T3c+S1olK3PhWIr7+MOaSp/Ud+onK+CkYeQwP9udrPUbXtZjxg0kCyf4
GBOjXONqmr0UdS+v5WK+EYjZ8lzaN6LrKKnSuiHQx5ccb0W/xcW/26clRXBEjPBuTKmYTHq4lFk9
g6rLOS6N9MY2uedCDgdcCbqtgf/+vq8a/pbu6PEN5Diw2aZeRSFTmNaDjYwZKmuMmVzOui31EqVh
3stxPKMo8fZpMTxEHism8FExGwV6g4WrQH/PwTMfLNCHfetYtIXc1nDZknNvRedUlW9mSjDXoMyH
dgEb70wyPMaona4sKypXMZRkDILCe0zDb6rZeqeBrHfmoBpEHKJ57g34SdxpsH73NZPkK7J+7JUY
k5Sceb6NR1W1av2O6lofp0uXL7dpz403eB3Bv8p7gmx3roiOpsCY7hd3aqgCySluqGsMy8elG/Ju
DAGNbMIxXmVT/skX43YQ0bLrRMZvjRvnhLY1ujcbq/ocmzz7gjKZGFj3mElWWJWxGnpyzCiweKZo
mXnOEqpiifX9dWjE41NOChlu1yw3ocGrOJyxwdaiR49zLWipc9I6mk6GYQt4ZL4+pHO6lWGoqL3b
Dnu4kRpTLAMe5nFCmBQ0liy0IFn07dHyk4/CiD5Cbvum4R5qC3UKbb7n5UbvJpowXe7Ueq2GLJNT
IOG5hNQENNdim9izsTX4wiup78xiLjMU5XQtywRA5KKF3/Rh81bmXD0D09S7kMklIhSTl02K4x4P
zuBqBpnUWYzTXep06WPdk66Tm9bWQKuIqzVhYxkdPZELrEksfYqbeLApo6QenHi+dRMSwUJyFmuY
cJPlPbfd6FsTT/4a1GIAAekxZNSBzr3BamKsEnzJxpZ/pck/CJ8yz3kwFDcZt95l9dNvwqdmUkmz
+gEIwa/KnEePjCUI4g9Em9HqITXbJJXxXQNVSi71oQ/94VaRyUpmrL4DQ9ZnX4phTZyOPhTC6qEh
wIrLTDM5LSNZCzM6zczgUSTb6TZ38TrAIv/KIJqKE7e6nsWCRKjm43G8oF6VFFixIe6yZshXTLbR
VUejtcE31N+x2rniel7RUMiHy93rT+zTCHHtnxt/9W/wguM5AiMi1zFN5xdDkCHBzR/GWLqHmUgj
Tqjzihigt7oCFCSyb9kteFnwK3jL3ZItO2jKWpBYQVN79erqyfRiyFURja4uM3oXsjg2Jk9MZ+5N
MS1rO3eNA6aWPaw9E8HiONw7udFuhNdRAHfh8wXIvPRIJFV+i7s8+nBguq9V5zxY2MNvRqOzbpDS
TVdONeU3GNdT0A26KHXpgTrYyPRLeHAYHaLT1jCtf5qw3rK9x977lhhBg96VmbgMdRUYxaVmZ2Yb
FXoB6jFr+u9D5EwE8FwTLlAgUpVfEKkki6McZnpKfAo9JRKu4KrtQSQcQdGF0+NLfDl4wfHXuIPq
Lomi8c+v9V9AMQ+NDBNpXMH1NOFn0MhGeKBikfb7xEVrQNxGdCBNjlvIqRG5GSikI2dAhJbF9l/g
KutfYETad+zIbLgiAizp549mZ1s9KbP93qtJ+lEc6uS0GtZjPDo5BKaqeu8xRNwG5sJUViX35ZAP
n/xK7Gd7st7+/Bh+n6cgPDJdjDk8JEtYNv/8XXrRk7hTjinyag4BDRiQbkIJ3U7dtlGEJYWcrn/+
SP3zfsHRwEe1yY4L/PyPH/IPoKBddCbtZtDv28CGTscweFuH/MnKyqepbQY08Ma4KVAV4og85Ic/
f/q/7GbmBHwBjKsuo6yff3DOQ7U7FNf72qMYSwF01gUNxV9W+L88VlBmoRwFF0j9NqbiNhWKKVm3
X6xYrvsFZ7smmd4hm55aP/s8d8QA/Pl3Wf/2w2zEaB74tsXcR6+6Hx4raQUhZUne7cM4aa+xx/Sh
bMrmyJEAlDN6TxHXJzwZ0DPhhOd8yub9MFkVUVE1RIMh/rZkL3/+Tj+7312AWT1HdJSpvfd+W1yV
kTWxb1bssTR5Lys1f/+n+E0Tarxsqk9//jg9ZfxlZSnFMpag/jp42v0FCO6FazhwcNq9F7unRgh/
UxjkTpXouNcmVfPKQoQss+S5MvNjZrrPTYzCYYjH216k3zDmyVaLipe/GLvpqexvXwunYsVSZ2s7
l5HID2/GxkBnDt2QfBB/AKfJKJ6dmqOGnFyuTCGOfVnfRIBkr3ZXVbsWMjk3XQ6ka5RvVjNpcws6
E9y2xSousYBwHfs0Wrildkny1WkPqsNeeJGUIEzf7dZ+ENQ4EBCrFTrvZGt0IdlbIDXuAimxK5gt
6alj6uBSI8wMFVTeJevW1r21aUKOCKA3mwGGN4OGsvTY7nKxJYvZHP/8ysTvz0ZPkhUAvqMtvH6d
5/rWMHU0htUeOe2EBpDAV7eDYZ6NRB9Wbt0RA0k20dTlaJIGUnX0zwRaJSuOyNfZc4FqA2464rbT
q8rsja0ymRINum5eyDvctXm43AJJpKgqQELD/K/n2W96S85PPCKFI8keZyht6t/4w/sFy+Ccbyg2
KUoRw0N23oCpjavCbd56gTFe5OQ3nq8a9B9YfBhZvGtGLOX//Ch/X/w43/gsL8Hk3nTlL2Nn3Evt
ijSoek9E9pUYeTCClRAXg/OXDxK/nzSMDvHTROGKJtb99aRhChLUJP8QflaACibUPdacLrva7YqP
bGlBOFxQqVijy/XUa4Jsw5chnHQd5EO4GavoTPDPOca16cbN6fdSWkCeb7otdc9Y0LyDb98gvAc4
zYDhjIDe5c9P699eGgM8BqDKNfGW/HVyXNC5Couo233U5tZGZFg9NAXy0ryl6pzyCR3J2H/T/dKc
Aj/1dfQx595fTqzfD0gXWgTzRE1g+v2aINKtdSvLqvamLL/bPl4kPAbtvtaINfY8f/k08fsEy9Vu
t8iMIVCY2AL8vFDt0oLQ5IiK+SUM/rQq540eSy6tCDFtCxUALgU1ptlcEZ4M7/KlfCunMr11cop7
aYbnyrPm20zWy2Gg8cYMIKUzz+nsjaAdbhN7vPvza/r9HuUbKz0ohvqvaSQ/f+NGTW7eTmwtohER
dLQYcBjk9mK+T/8ElE2gkJn9ZWj5LwU/n8aKwMQagqL6dSdllA5jWQsCHhOAzRqzEBrxiciAUk6Y
7XfgqWj46Wj7Yws8de3bAJUaMwRvRwgqShPlJBBCwKBo06VwNlkA1hXQCrZXVLOVTYsZObTdture
cKECTdeYSGHROAnGz7vO1adZrMBr9fhFCmQkKR3Vmpya6CAXV+7DFPN23EKfs1qgCDUY6lWkGa8W
hg67yNXFfDD6e6UnlOR+PEwjOMlltlFmpAAwc/uqO2En7vi4yWRCEbzbBlmEVdWO5NOwDP/8Kv/1
2ECJC4HHEdKEs/Hzu6y8JY4aybERzl10jykxoADty04o2a0AlqEqSppc+KxI97COl4oXfbEVGntB
9IzTjFcutOZ/zvpcjIxG55hMBdlWatN14vNltCkry4fzkzdXOePuE0Gif5s3/17AepyvFK8wTkxh
ql/O+yaUjGAbt90XLpdxP+HDncOyOwwyGq7Dxs/Xvrfkn6UXuBvS5dO/3Jny9/MXhrurbDgvcI2s
X/k9via7jlNR7s2MKVqJaujeSsH7vQwk3K59+VJUKsdPMUqPRIiZm1RyQ05kQXEo8yccAYjqNtFL
w19miUieae0yAHJm+W5a/VU6l28G9Mj1Zf4AtGEZ4HwBweRREDVvqtLTAAXIngBK7s1cY3yThnOX
Kn5o6lG+mBn6BNO/aQYSNRVC3B2RRaD2of/Bfxh6ZIb5XbZJti88CDapy7jxL8vt98oC1zVsny3f
l9zKjn6KP9zKA7O6ItExrTVDisuAIJf/k7oz240bydb1q+wXYIGM4Agc7IvMZE6SUkPKGnxDSLLF
eQjO5NPvj6rq3S65utx9c3AO0OiGYbeUohgRK9b6/+9fRsIIbNcVyc3+3GbDKkwBy+ipjmOIiiHA
tYZC6vAxhpn1DuFU7ck1p/Vttuxvyr43yalkLl49F0z0N+HELMLR82n395/+530PVTwVBete55r6
+YrYtaTK5jRedpprwjRgvrhsFelEO/KjG5UF+S92vZ+KZ4d3ivqUS5lJJaM7y0f64XmRjxBMNd70
Ha1tVOhVu2CGOY4/ZjHNx6+3YyjUs7+g5EA0QmYpc86WeA4JP9mvFZ4RCzHLCqnGrzaPzwflx4eD
+ypZb4tqaPn7Hz4cifIJ8Z9FuosjdARtzWeYKCO6ZcoKee1X+rW/+HbLEkepJA0uEz8dO2llkWVR
pnAzlrcWD9qkUVCZDe8Od8df3Yjdz+8qIBGTHQVFJ0I20LOf3tWo7pk21nG0Q79vXXox+OIIsf5m
NL0toyYP0y0kHz8uCEeUlKH7GATY3jC04mSWpvM4mPgLk74jDaW7bggf8ZXdkgc39MofWKMbuivN
ReZWxc4bJntVtUV8WcjEQ62SM92c22JLBjvN+L6GRKRpt6jkk0PSFQbemkZtgIrl0G3cas8dBgWx
VsY4TENIVvBCSU4Nhi0dSeXXoTJ3ObD7I1oOjYlKek1Eqrnm2iZ35LPwDIlcJ1ADA20A3gLnPs6S
mYSaDTxbd9NF/AVq5ldjUdsZg+puJwq1bZ4FycaJuKkFS6oM2bo4Mqm5Cf9kTg2tIpdHBKoWOrDU
wzaaq2JbVCY8s6TuB5QWRUqXLJA76SiXjCc+g1YFIf3dc9Wa12EUiw2Oy+bCBV29GN+Mr7Db5a51
UusXC01+LtQXPoyBEktwIYaE4X7qJ3qhqj0t45RHQeHuP+49MkM1UjQ6k21qqUTk+nWlVLGDLWau
JcARPB3LLxB3PCi0lqzwpKOud2on2cRZ9JaJRBLwqZCye4NNS6k3/UkjMwTeDIPwoi62DBHM9dKV
2Lpy1u6ncjAvveXLJ2V7DYPt3nJQmwyjjZLE6qTf1TkBG0nj/qLh9PnwQvbHgmIFU8ew0eifXnV2
TmOJOHe3UT3v6mha0SL6RaXxefP8+BYOCkOAOiSSfCY4cwuzaASELoKBpNqUPe1Xsoy5ZlTgm5tW
Kp4NgMq/37E/FwV8U/ZOKCN02Jdt49MOFWqunRCD7mDQAjvA8KteV7OuGLulOLIkIz1NWs2hrHWQ
Fm3a/KKtZXyu7R1Y1RTIggKefiodlz/vkBNEZvAGpbPt7IooxxHQaCUI4kyS5RsSYn2ovNbdsdvd
03ZId5lp91/+/hF8KOB+7Ox9fAZa5IK7DKLfRSD+4y7NsqkdUQPWSexU2/STava5KWsu4piiVnVP
IC8EleZl1OfgxIM0TwAyg03RCvespfjDo94hpWEwE5gds/ukN4JHqRqqu6ja5qTB3A3T1JCC5fDj
tBEeBGISL51qUA8iRJVATKUR7wavvZFOWJEto2W/KL4swc/wp5+RApaWKTQjQm7IZ/xU/E1xa5uK
I3TbsaouB1mPW70KDWDPZX/8+CE8wlFuINk5l03EXzB4DNberM+bjPzS9UwJtpH0ItYyCsK9F0bu
BnaqxrrWG5KRxHuFFmOv9URUdC4ZZHEob1ORS7+q4/6IhZJ4ImXXKABmF8e+0zPVJm/IShLUHLby
M7udUfiUy4y90LZ5JeZNvYSNkQW2TWvVQJKccYrbPRKLKLybQBuv7WDIbqa5epjrBA5O1B2toePD
miRyhirqr0Ts4Hori29//8rIn05aHidNeDSVDq1gHMx/fmUq7PLxzL1pG6b1AhLU6rWT9JdxOJxz
QrtIEDINYpwg0sT2FKwFHa91YlXuPiVWaKXFdK9S5suESbHMEoxZF0SP6S9qShzGy958wVeBu9Rj
ogf2VuxpJC0e38jepXr/NieVd8EtT1/rLZI9q21MwMSqQNQn6rVmlw/AubstObH3OQ1pHKjQkf/+
CZg/7VaQbrht0jayXBaw8emFSvCC2LRTrK3Rc3i7eBS+inFgCMYHDzhBXeF32Kx3LdmzW6nl5I7N
KsLK3LrkFAJKT6KAUOGsxF8YLvKOmGWXkrBFhLWVaFsxVLyYdqhtasRxG73mHZkISV0bsZusO2B1
/lR3u3GKsC4L8zz08gnWKnx3zzkHUfyNu05HJmDdXWDyc/Yhoo2rsIjdGxBMwo8yV/mQQ7iOF1EF
j3iEI0FvYGcy8tsymORF7/mWo5fJX/Rw/urdYXJh0vRm7/upKJzGOGJGybtDHMk7bgP3ZlkrNThx
KBph/4s2rvPTyUV+uSVRqNHJhVj8Wcycd/Sq9K5lh0VOtUmYQz8hLIsuKoxja30m9lcSHnAiODm6
EG7NhldTfhkDD31BV66wdwVrpomP0GcuCfW9Cmar2RqofEb7OIVJuVET67pPkLzyb9cVNeGGoPdg
XSccH2JgNVO2v5cNMCJRIuYz1Nx/BzQKxUmyBiouhZdJo9s+idbhNkIS/2Xos/qOgX+wMUTU31Zx
DGhZoNNITRA+0p6VD2K8h4Y9egcmsrcAm5u9l07sHLPXEf5WOJc17oqrQWdbbqo03RISG2yYmGZL
Id5/sSberabnmNGi3s3XlnCAIqmWVdhqCQ7wEnp0XehfcfwRN9sbjLOjqNS23sLOafpQ24JXZjNy
DNuP6AVRgbIg5l8stL94W3hJ6MUsevTllPzzTtPYdpbmIapYt0aUA5My2dYV6NW5JFvXsVgQf7+w
f/5+TBVRpFNicVG3Pt/S7ZSsXG0uLZKacwqQitWAbM47oDly99FsqV+sBuPnwpJr20fUEBdehnkL
4/DH49dF3qZEGJpbdEzSjyeUoYbh2pdxziCqmPXoYvTMha1ib0FL1+CI2S5sshP9Mmfxww1iFDDA
UB+5ORPoyEGl9/yqddyLiBKMdlcpfpTYLuu7vGG7torlcLeCmpMnzm6sonyBKw+6moBqFNe8dLaR
vaBfVH5iowpNyljbhPQm77EfN4fZdq/AuaRbpgzvihyuDXTe9xTYsoj47JoOt3Nyg/mCvpbwjW6k
sVLW95DJ2ak0dv6Po7VKKbVqN4yeUJRJ38sR3BuIfNGIsJo8j1My4hWEkZXpF0NrtrvSXk7TPEUM
XlGXpAC58fZ2oN6WtToJ9o8676bXYmZ/S3ve8xkUFOELdbNHFc/Zk7LtNmmlHuI4Jcuy4MzMgKAy
sHBgzBWc9Z4WMQWYyD/7/W8z3neShLQtOXjc5kuUIZtODESYIy2AIsVXSCLRHMw4dVgsbBcxIJ3D
2I4zD3FsDlGLKd1QDPC7jD96bejuG4cVWkT8Ez2kgigCD8RaifgbzXe7q8OmPsUGKqICLhLnAj8m
hJLk1MOg2FQ9RtRuKu0dHiXvIPKYZ5dZ7i6b7S/25Lzl6HXXaWaKA6uzv8RTI312MN5ia3J35E5T
ssSU0R/L3bN5fChN+Q4ap0DlUelgvmWI7smWSzu/jo/V9X8NX7p8o7eSUUi8UNn++//88Y03L+3L
n/7gf5gxb7vv9XT3vQFn9Q8w5/Iv/92//K/v/46l04DUadiLvORvPJ11V7y8RS/Zf93UL9++N9GP
Ts5/foE/rJzOb6Q8C9r9UlhENS0w0j+snMZv+IBM3ImG4eBosv5JKfV+4zy1+dcCt6bJeOd/nZzC
/o1JLrxTvhydGNyN/4mTk4vFp0oaCQT6chyjGMFci+bHn7crFeYkPHAoHRZycAJ2skmvncbq2o0M
unZajWOXJfs8K4B1OlUdtSuweCAoSycSB/piiW8boj7MUWHZV7jvR0jSY8x/oymJn+e4IgQ3JEak
9kkaCY/kyWB0sWqh+/TzZHgC9pMDSAEl/mxnelRsSiMu6hWnecg9mkBe18ff6Tw0A1uq0TrkmrpV
74MOE8jcXPO1msHB+wFXEOa1ZdESmi5Cd17PgzfcEmSQxHvyZfp5LUZS5vdqTGqshKCDVlqP0eJG
Csi/K7OqsH5MlhFeFbo0b6nzYHylqge2DM2+stZKU9jqpZvr71GslzNyCZeVbpqaeVdACcSPFuTh
k8K/habEDaY3aWvtTUXkzqK4LLq1m1TE18ra7F+ipBkPUG1z+lqVHT+j+2j2dWBycA+lrjMnsOvN
kAv7ALYFVXNBzbpCvCpw4WNWuG9tMT0xPnLbFWlIQcsEuYz3wnW4Lsi5Tuk6TQlxQ1XjyCuRgwod
xlm7kHmGJHE24/kk47wzzoIziqxUc1Lh1vQq6T32hM4cJhU1hp95OpoEIDlC7abRAEy+ysK2jg+q
gVZx7S7PJfXVLBtvm+CDcO8b7CFLPcJ0N8Ce+cTsEy/l1C8PKzp0LTRVsmpg6IWteYEJXu3d1M2n
awMTUUjWQNQb16HjMnnWHAKFkyFRGyMoQN50+njXxvp7MqnJL1JkVAP7HEHkdIfpIRG3pAyBV6eZ
1j3UgxNHcwRHA6f7NJvtNk7hCK1C7Afkx9kDGlzgSmcaq4eh0gycjVpA3i6MC99MgjOlVXiSWf8o
KsnNxmYKyvuBoM/6BkDkUPT1YRhDIhgyPV9mO2K9aJh9SQPvKhSyONq8Nne5rLQDeIp0nUiI5ZlS
7g6z0WKFro6djdgg1My17WKTnAP3igsKmYgmOX5FT1BVFg3wEnQz+gYbItu5ZpE/xq1VnHqZWgBG
FxOVVxLR5kXdyuobwDRu5UCS68o7+FbliTkq8/nUmv2ZCdsiKNODL2E2ntOWWOupTcPD1MFOVI4D
GMaOkBh4JQlMo9TA0CW4thN5VqWRUjCFmHFDEWztIDN9swCoi57KWPUBrQSj7a4U82GFjp1OSzJZ
3X0WVTc9iIqeHsOw6vCXUD1H7XUQwUKz5qmlVkHRZcGQLy3BMVavw6m/45aaIeLUzlDrv3ddfJOi
r1hZAfaUrCUgq0ga57ptWWWhqyHU42+YbafFE93cis1I3ps97/9EVp2VB98ygzzlrvBuOGn176Qe
8KaX1UVlOx1NTfAYukf8dZ2O707RXnQMUNdq0PjNVzJfa3k6awiDgZNlHdFRgYWTW5IAL2G0bOep
bC6TSHMwhREXxEV/XA+OgxZ3suYnjc8NDTGYuZeZaidlQhxGlKIIh85wRl98tiHTHzMrd/BkZD23
w9rxXXM0/RSIDNzCuPFhp4OgsvP5hG6pM0mRHi2IooHEyqf13cZOhNTXplkAp4OA2q/0QEwPcdKC
fZPBcPI8EqbsFIKlF5FU0Kr6vVJSQmR21XEEfbqNjMHzudTHayK88xuLAGocd404jihDX4lMK7bg
N+DFhQSw35itHiLO1WmWimABjCDl8a1JuY+DJ8JvVQrl8VeXhY8h3o99HnQczCi5ljMDXq4Nn/qU
ZVmrKIn06OCKpm83gTHkYItJR7tu8Jh8GUqClipoKfSVpSLQoiDI8L5Q2kT3JDO+dSE5kZd0WQ3D
T1s4jpogdhVzFL99xPsGx9SgD+QkRw4gVJ8Bb05stmtEB6vL3eF6xL9P/FU6Dw+NLdO7CReSBADj
2b11UcWzezXPXXoTuRFblKqCBqm9BFncirZ5RRe9FGaR/Zg2E8kMEMqQ9Dn4lVfEKbr4PhxsCl6Q
NodhcKZdx/5+MYfauM0i7Cez7Mc9k3fv6E00z6EvzZCEcJDRXmgfvESrNjZR0ljgaaRTypKs2lKH
MIS2EkTdnFutW9KJR8q4tgdCbfeuTagZciKD6+gOESv0VFJ8+j0YKyu/dMzY9T0AyCsmbtp3FF7T
kQiZJSamBF5Sm7p2l6Y2AG7oL9f51MibRkbhGce3P8ua+wNZSCujmBeLbGKU17mXW2sXjfk1Elnr
sdAqCaPHJQIlUwzH24I0Lp2BaaVH7VaG7jmy3IX5+bVIiBXw2hewSDvAYejK6clDtXzte27RmuFe
lgb3G4tG54aJVHMH4g/fWMmDo94gU0dHV0VnXdsTxR6/UK6j4c6YZHROf4SQdCeGLj5FARRVFKL2
DXyivUNz9sCxktKDsrOHmhSPYNXQIz/MTsfdY6qa3q9CTDFYCYqnhLCvjS6q13GAGVfXJn6lGQuu
wbt5rRxlnOPQenOQKtyRV1S/o2LpTk0LXH2ruVGjrV0ubKC/oL2Fx6IPPWg5k1k90Q+mR0YKh0fu
qdlbp2quesGmbFnjI3F7Rrfxcr16mdDpPLcBt6wzZBhBDh0qLYh2jDWeDRlGJ7dq5SmOCvt1SED8
0C1imhBaUnvlqtcgc7f7YV0YrbXzNKKgncjBsEkQwllKrX2TqC9WqfDysyjGLvJhmM87kNE9SKXO
unLGqL7qys4D2sg07KuVu+GdbrbmVZaw3ygF+7btwB3b5hj7tg3jV9HpWJmxtF+oalOH42QMjf2g
q+wYD1AR+W0SXErsipbeDYUahjVjLgCcep3GOhegRRtnUnA0PpsdHMx0HKtNyI6FcrKeO7Vmbhqe
8jb0eJwi4diHq+QzQVZ3EPQAzNNP/k44XLen9AIkOsmSmU6lkhLGrshZCF2xryZvZvdb4g79gZn9
A2Cy9CqdUnkqzbyHDu95T13DzTnOTfoldRDezVpKySP1ujjzMdJ7Y5757aqYo2k2M/1ou6SvRMq0
MIjD87qM0qwv1rWnIGODG/VFLZ4JhYNP5hi4J/QpTZ6zNnaepmB476tO09eG0fd7Qy+2Yoo5ugYr
sXZpOo1f0WbVoM5HZFFEVbr5C97W/mxUmfkUjA5xcyLvyQgLG+HGRDL2iCPcXH6dU3zEHEras93G
yV1sBN5L1ajx3jCX1hVNd/CghWioSwqDrOxE7zOfHjTUNKNMu20sZ/uts81kX2ldS/+KfvnoW13a
ca4CXxoIEWunr7pba3DBwAKsiiCR3koUQXqhmYm6MrslZmYW/Tc9r/Ed6G3jPnJjr1uEe0KTF2Uq
Qm4aQg+fRAetGtnlGOfrSquZjLYcFs/0j/KzNbjpgRgmiWYezSI+HJMmmBkUgCmAc8nVQKTOkU0P
0Is+9WO2KQOVTytrHMTX1qkmwLfmEL1OScmlOQ+y/qpKZnIPRICJJkudZr5wqbF1o0rDi2lke4Gi
3zrfuM4al0Fsd8coEXW6Yy41P2AbE6RotgZa0HDUvhSNBdDdLtzXcjRayFNcocblleTylI4ZL0HI
IszJWWfJK96RdU1v6hLDjHGI8Spz/xnzIVy1bUjQJ23r8AbrwHzf6rF2PSUjm72jR0jmxjnT3tvO
LLCT5cLLcN/q1mn2Ypp4DDX7K4XR7XmOpHylzTjh0UuE+j61YXowlB2kaxKBwqdipHO9TdGowlsx
zXcR96Sa0qxTft7GGO1V7Ix+oPXpEt6SqgcDteOw1oox9xGSuOWKQ5Soz9SdIqoDUlTB6M7tRVMn
3jXNSu+O51OcBmBpS5eCkDM1kAcIL67YMI8TQFBBoTznbdmqVe62Xb0ONADyRjiMh9okGlXm7ACb
xKJ9Ar6t5H1MqrG8xvQdX3dA/fZKk7CHBzOU+7ogY3ydOVmPLTkBPLxEvtEXKurWe8A0BgjVKp0v
BjHHr9xjgOUmY2wSSFVM9sSrENenehonGm0tHqypHp6Erp97rVX3ea+AI3dof64hO+jlTZ+ORLvN
wnrB+gt0vpuy9gQkcTwoYLg+0u/mqVOyeR9D3c03kLncc6nj2prNJHyYhoyTKO0dEh7qPEJFS0rm
RYg5Ld1SCGtXpLsKa9tVWnGI6DAxMpDRl7q3xXEqZAtZGQ5FQky2RjRzWLvDqfCi+tpxsTVkkZph
FuSEjDhmc3Ds3n0GqzOea8otshyxHx+4Ktnh1hhldkCDn9fbVk35Zu54O/E+TqVzrUBnsoDonKxn
t592uhrkSz8V9QEiQXnSjXRcDZ4zYTOqzYEUBbOiAotoToYrT2kjsURDvooza3hzZNh+C6tMQ7KV
uDnEQ4S7VKzsEy9cZ3vMS0XrrNH0q01faIIGhDU4lEXJ9BAOCdGgPGKiJz2vIjFAVhGsD6CClL+K
hT2tw36WG81x1SGZu/behNRqwIQY6WzrQIBByeLmXyEBUVeuZo47hniLf7wbn6pSBimpjrnNO1wv
+2YV65OEfsh+pFpGVjcV07He77kJx7tRmRP1hVOSZ+hRFSGEEaWPenvgZc68eVWpNoQZPsuLxnVT
3cdmMmMyzMOU6AwmjxforpS+kiQGT8ch67XwAPSmjny8o9PXyqNs07sEsLby1HcrHdwDaQHFo2Wl
0YNHANi06oU+7AZdMw7w3Zj32GN3mArgihAZu/fUGAAQB8gmMb/mRQYhFHTvZiKbBamhpe04ktSG
GQP3OJ3LWC4crvkk0YEXDB3rzUQrv/j6KuseqjfKP8ElMvTso4OuYTtlDJJAgsznfpz0U0Z3ZiO0
FFho0IzTOh6T8q6xveCN6Ez08latzpk+TpzZDUFxXdlq3BdbGd/NNKUYlEfZo+lp/SlLzfG+rJwC
PRgJz1SzpX4dOyjsvKIKrppMt449C/5+ain9ay2b9qEzQpiKx+K9JAzh2hK1dc9rTyWcmEcyA+Rh
NIL2KWx78wIS4XzhzAYKUkt2B9T5cBhaWexEqlaNY52pyetbZNtQlOnhX0adLPfEDNjPhLGFr4FM
QkwaOkz82Kw3wWykl1VXxDeNM61pU4FYhCACGVjQZ2gCEb67ZvQlQPQHE7jy8zqTqOy8YV1yz/Qn
adWXsAgIxoNPotJmgGfs1T4jI1z7Nnoj2uaPHhsW7eVqOFhN/GY4TAboVgBbqxOYugCwB0t0RxGR
PWyHbXYRuInYMAWM16ExZiSoDMXVbKps5UmuCJwOzR4BS7tnhutstBagKT9Ps3ViU27QIXolh+cP
zdGb369rP2J5f1JF6MB4UcMjNIFCahj2p+GqxvZbDGwkB9HHgrJzqdJcWYanaijAjlu8QtMaJYKx
qjoJhmfqnANgOaC2v/ggPw260ZlDQrWW3ir/I91P3pS6CzCUGs54mGp7l/RN+0prfIAN1JPCcu26
hWHfpDp2eR8QynBH9h73P4gTLePZnvUdmf3DMAqLPtkk6nCbJx79M1DTuXqxLRTBG7PRrEeFC/eG
oTpP3pbZk6s0DIYfDbl86I1XpxgLAjq5NT7S/tDAgbTyLPpBe6ujgMK7c8Mvji67JRQxjJ/aWC5m
uN688vSYpgDAhUe3DnlR4mi8VaWdQHHB+uNPM6EXoAfqjZzI4qDHGV4P2G7XLXKlO8fJpwu0xfKq
y0KOw8LKtnLMngTRmLetCIlKMCCwL01LZ2lfVh+dTJwh7JAaeu/Ip+Vq3VUfbc/wowWK2Et/rz4a
o8JUzjfMSO7NaKX13RzOxiNCQjKnFSAa2l9LwT62VgdfLCQ6I2aA8gVOD+9p9lHdQ9+k0vc+qv7x
4wYQ9+n0ZhFV6nNLda+Tj3uC0ZaSBHZOtBavpEBKtlwn6CbZL0gYMoK2PPegBeILA5LuUI11iCqe
Tmg6T+QgJF656BW4s6BF4PriLjeZfLnTYLLnj8s9JyD5KvLdmfM5KSfYHcbAjWi5G7nLLSmKhnhT
V7m1E6qmR7l0RNfsJtpr9nHJGpf7VrLcvLzlDiaW29hEaOWzglIxrenlcF2rvEjMZ9tq0mdLZNWL
5aBz3RTwiMZHbEE8JKvMrFM7c7/cDaZNL5xGevVUB5VdfNMiu4v9yOrC91ZiW7r5+2UifrJl0G6B
WIg9UDCfMFzBNOTHGWZX2AnsZo6TmFrrqtLGEHhNrDZNLdNDkevuQbl1PoDsLwN/rMtrNyO5JiK+
kSAke8AB24aKbtqshRs6AMSTF3k63HHrIcHepE/6xMi66ldhLNXZHMA8VCIx6QHGA67c8Rqh4fWA
VxqUwGD0lwaGupaBwhi8ofuUW8CS9sGOVHoLaW2kpW8nR2kbZ7KzkTIGNyDqMGcHIYIMGWwNPTyz
xuUJlzCgcnqWtmbqPTuebpGsY80dRzbo6H0UKwvmhk2Bytmh7/vKyW6IGNdv8Gyg5SuBtd4jPSt2
IdgdPxw7IPClLAd6bzCxTmwu6satG4AsVDLtxqK3PKzYV73et8YsPc5KzxWEd4gOXMCr4pvTNcg2
UrejkLTaG+H1pKyFQ7ApZUJMujWTgoU7Ncer7QTPEVOF59GaSEYZ8rLeBm0a7WJs+gTBB6bDzCJp
t8TnhPvCtVhypj3Y/Hw1poYpT/pveeCRnwq5OCB9wC5IWW28aRF6IjJcOV3v7W2d/KOg96LXHO4P
ussw9oOg0O5GOiN0CmJ3NcZWfyTxdcBIHhsnWoszbyVFZ5YQJYJIVvvqwYLz+XIt82G3uCPb3iV4
zaqI/J4CVgA201U/tPTMmORAcO46jrTZ6rcTTrPnXhjxvRY14kEliB/x3+rRuuwVW9M4JLdz04Yb
UJDywmKXWpuO0/qQ1kEqhwBMnMhIvhR6gyGGLFpU79hLzWMsdTPjEmMHl1ik9J3tRISaJV4iL6u8
PHveAN4mo0FByhwnEeIu89bW6vBqgKtL4Fatk5xDggIs8iINgAVWyxDJ+JgnGe3YzevgY86kLyOn
mq7uzEx7mUQFTcZUyosngnjtQrwaH1Mrj/mV+JhkNUhdtgygnYfsY9JVCE0jFSweFoQDu3exYXer
nkO6ezGJYLYRnjAmG7q/nGPfzG4Ya27fggyndpm2JctAe1XVI//NzUDaV1Dr6kOdQb4bBss4oKpq
qauVyeW682ZaTbCp0mSfuDbRlhMNDGtTx0Z5ITtJPaE+errj0t5NLeNJuRXS3pa8Ew8Wdb0sEPjj
E4mpRxXMSzSs52wro+yWTw3mhUnpxRgxImq00tpDim5e/n6jYkD6JxUgjmkKCzYpEyIuwrVltvmD
Hl2nM5/SEnUOXgg8wrtWaX1Z9bcf3+Q/mnFfxW912ZTv7ceE+n8n1h9T6H/+6b7M+c/nf/L/6Izb
kQ5l2L+ecW9evtUvv1OLX0KYxfuX/nsWfx50//5Vfh90O/I3IdH0UFk55sIT4NT4fdDtiN88w0QO
Q0YnShzxA7NY6L+hk8V0aknLsGzBr/gPZDF/o0vU2bqpI9UW6FH+k0H3Jx0Q03RIjQ7uVp1Pwrzr
U+GXEDs9yiAL/IF+cpKMO9uMtuQkgHQ0dz88p78qdz9pCfnZcaAump5FTUmk6KfvFeYaiHPit6BN
lluwFXdTrvZN6mwLdEizp56hu63b4dGTW82Zr8N81teRfKIoWwmyjses2rJZ7H/xqT4tlt8/lRTL
guHjfSgcflwsQRWXHor8wK+iyW9J1cvsAdiTcLYGpeRMt9DR8rVdI82CuMTlfzMFS7h9CJ22XZui
+n1d/ctkUtojf16+yydyhXRRmlOTg7v+VGXkkVNpkOYCv5m7aEcBcECyZN4xWQyux4hucGVp2XWV
9TCxRnvGuocjup0tYMlpby6Sg69aXVi3QWtk7FhucGGa8YG745agF2rgYvjqjG/ZVGx6yge7LK5s
QrPSgWZvT8CfhRuW/gTABdkQYAfdiGBEMtvmjaKnjyXiSlfahj7DtjKLTZJRftP87KL4aGt3gyjv
5iDfCO69psLN5U5LWNQG0Oqq0MUxtDlkVXnZ2GLP7Xul6ifGkgctIl64f9WKC4aQnNCDPFbTKhPm
PvUe+q5/7LsUfOaEq7AanYPZPoBuBcFF470vdxIwZd5klL7hLWl0sZOcMtdao2peu9YEyyU4WhHs
SjOgIMiW0NVz3hdHKZ3t2EgCYEOisPJ2qxJ32mq0ZBAEb/DdIBlkSmvWV31kb1GBjXRniSSgMB/8
quy3UpXMQh5t1zsiKlg7BX3DzEICRb837rfcOlHylfu6GdZh1vB4+DYe0e1quCtrCxEGp6cm911r
56t56NH54UQmOcJQEM+uRaEuC5quceyuhyVQT/eOlcnK7F1fT5jExud0KPdafWLIseVa/NLD5TDN
VzWWX5vmjZkfChOFWMS7bhARe9NNXJM7AvEwd50tza91GDTdCVZ4dY7b4Gvo5NoVigdz4+CM0Ugg
uYNwVLbrkFdLtAEhYblZvoVSBfGqqnhoFKsJ4V1F9r2hwXIr5rB88WTs0F61lkVDcDhd9OjgDObZ
MTrxxU5Ff0Cy0j0P/YIXkF64Y8hHaxaRS/iQV2kBfVQGK9QNTM7B5NHGDRg6nsmuJvTIbpxNW9N5
WhUD2hk+hT2+WPWU7Qsr7+BqqT68ivoqvuSkvrbqxr6t5965a0Wutv/5+ffXJ9uP4q3//veOyN33
8vSSf2/+/zgkef2XDsK/PiRPHI0Lyv/TsfjH/+8P/Zf1m6AhgI9Ch1psc8b941gkvVpywi08Ct49
LvRor/4RU23/Rk8XvrG3uHSxpTP4/se5aP1mcJiBaeC0tfiSzn9yLoolSeDPRRQcXMm93MNQzZH1
mYsB41HoJE/lhymWSGucl9CJPRZjnZ8icwou44yUK1joX8oqJYgZ4NxOkcb7MpqWc5W4oP1HUvAS
C6syTaob6s4ITJz7JcQNBz7dw7HXLa7OCXTYkJr9bU+FTIdMInCquuzcRFjUEq+uybg1yXVs1qKx
r6aGHcG1uOVCxII5Edx2mAxthv6+ngYwEpPgyxgF7pY+eLZycuuSaEb7xYmNbNcT49GUSKVS15uv
snzm1BhaQguR5jKaRqetucN2aPqKXcjdziRJEajX5XKjcqqD0XAWdphGN2y4VZG55zf4jXNyNVT5
JaIpf2rEHWrei7KuwjWagTXArXfLiMejFgVLBmbqzjsR1eeYZ3tdxjlVwKxVOwrlLyMhgLY2XHYW
D9NrK3mZTPzIsUxPZgEOR2NuSM7flbQ6sj31Mt/FY/tWiWk+BQ8Ne86qUWBZSQw4mkaU0VlomVJO
G+ayfoZIROWmWhtu8d6auFY8G3k6OdKja4NIS+4VEX7/w96ZLUduZNn2V/oHIHPMwGMj5oGM4Mzk
C4yZTGIeHJMD+PpeYKmsUmpV1e2Xa9fs9qOqJDHFQMD97LP32nFdGOvGZTsL7SsgCIlAMqd7berv
NMMeMCa341OfzPbBdItN3RvjOskq9G32+qMrIzrcovgBW/V9bA7fQ3uipaa18u04Th4xtsK62EiT
Aa2ZbM1DbFMY0+HMd/heMbbaBwMrwqNZVPdmJq044Frfr9Minh5EHs7sMduu3uFYjy6jc4OD4Akq
IACf1CmvqtG0FfiRm0hYlzilpTFzXqJ8YvSsGSt7bnKpas5R0x40WJ1ijl5UBOuOHfRkTwkfVXvb
NN1nVj6gSNXrAcPJ3nbrfDVBbMYJs7HGYSUw1QbSN7VVOMJ6rg15Ow3inNmM+ZDNA8/z8NVPS0E2
ha/PBptJsMYEQkZn+dnpQQotaPJaPIGETFac3TbeKzwMW8rEaQn1lL6TmFBKW3+3WHCdZt3/ZHi+
MbM5sERBvaK8mp2HYSRdswe9b+ZY/zawIRNwZ5KNBb/9wXdIVoZAVANjok7OxOR+Yb9nX9mt4Xbz
cT6VhCjQ8GR/gmOadKt2sp1rLs36aIbtdEqtxuNEkTEW8zI6gRX0DrSM9Qfo/flLasKVw7zRJufY
iMUhTqNmP7lN9Ni66Hg8qi0l0GL6hu4BAEaq6ho75nBw3TJ/y6bQZbVFxiEXWbZC6HBOsVP5JwzJ
DmebUttO15eGxHm8obyveJy7ZHyE69gfU/bFTwUXoK0cEFiDpvab9y4c3LXU4wGmoW/fAACsz9wO
1B3uLvPW1uf+2AE6/KaneY9XASMIJEvnhCstOzSxb1/mpop/mtbIydlSZ/CB7bygyAcV5wb1J7kh
gKTOdph3pzz0dLoFh0FcPW8U98oc5C04TP1cZFX8BEfZp1Eb3Z5HxT2bmhJn7gpdy9SNHx4SnrvT
cyO/ZT6IaH3tprs0j0X5by7zpuBo+OWt7Vke1AOLWhFe3A7Y5j/nlbKMznGzndkZRVF+W1tNNRzS
dmhv5bJO7UNQRLWuVDAZWEZ0lc1rxe4fGYq9g9X1T87QatvcnFAD3HRxc7V6BWkuEVtA0y2dz0mE
v6SHvAEww746pUhPnShu3dAhBCb9+Vo7ehmAfc9vJqip+C/jJ5s9G8s/395DCylWeNvtIJ7sx6ah
cbDvVXFx+og8rJr68LFWytCo95gwF7XuLMt1XPIvhpMJAn/lsJwnLUGoatUm4TDuRAEVeDOwHPuG
U0Qma25A1cae9fIJ7KL3DXrKsc07wMcGOD1XgznZlavJpHS5nHDvdm65TkSO0b6ge8SMKFMuMBf2
vXlfj905rpuHEJw5eR/R4WC2cYMmI+bXMIFmTve1CSCRcEY6rfSY1vjZGk5hU53dhK9/kkxshPD2
qDIBx9A33MXtogqkcqIf8WArPCnK2mosb8EROfZthSDEO0bPt26cpff17ETruo+K235W7uIj5lGa
XZ6qmZ6FM+5jOjT7tD3DIvFvelvET7GIjHOUOPI2Y/S9r3RHXOOM1O+K3Hp34rMez2xzkxslWB+x
kuF590gff7hROVgB4kD8k7RauRqbcNw2yzdlWr4z3vLtMZbvUb98o/LWw+IQjuZtxp7/rpaJPFui
5HyO24H1DUclRJCWpF/BrpdLP96C5RvsL99lsXyrQzcrH8k6jDeY46NDPZhqK5f3AAEW/zTN1ALW
VkUrnCyX50B6Dyzx8je66ofDvLxX5uUNYy3vGnt563TL+2de3kTJ8k7ytVocMhrfzmXk8MoaCUO9
NN7cH9KsWOKpKjrlHTXsQ+d472luTKc61GqKIDP3Ghf0YCyYkP7EBcT5QV9KvBsJyWy5WTtX/m7t
0svIWenU426ShNDxauqnpcs8bEBut7PPDSVDcWi3np+xnAa4lyqUZSgda/DwTrHSI7OZCODGxXBb
uqm3Era0ybK4fjuvDZ/e1z02TNyg5dxG9QuRt4a5zM7qjiClmXX7KmqG6GwwNsAkb1k7Bn3nDT1O
3xJ2dCMTMA8i0shmenE8RWt/GiVVkrM9c16jzgqse9Ac+Rqk1c6TnXkxtcG48aLRvhs1V9/mvtlu
GvJB9+3c2Bn+8bAQO4Dzeb7RGh2lN0wrHxdkHX5fQoTMhj47iqBx51jb9EXODWhg256vXF6br3MO
rBENtdR5t0xp6vOI6VIHJNUZ9xnyI73N8s4NJyz6aUoBeDvVGCbLfQveC/m6e+qGszOTD49CceN6
fn1jQS1mMNNC1rwmVokmCVcweJHFQ/YzlAKM66KqVWBaLlCTIX0jjaS2U6p+6KUpV15j4t2ejGuI
ceEWwr+xwn7yPXG/45v1j5MBgt1xJwOZgGPArEBPpq7YuXF1hxZxn1I4vB5z76qH4B7iwnVWUcFS
qpeWe+qc0dmz/AD0kphHahnucUhx5iW6edY4/zdirn/kbaUtnxF+lamGnx6rK8f506zXCRRXFR/a
nl5LlVfziVUp+gS+1mfdE9M61eX06VdkIVaQTWtz1TadSMnZJm70N7Pt/0jn/P94ziOI+M/nvJuf
EWmf9+n9LwY9/sHfBz2DkjVmNYc4DxPdFybrb/qn5/+GykVcnUuU+/v/849BD2GSDA4cN4ddpf+L
AGr/BmeFt+ICsKSdi6jr32NPv6uQJKb+udz2xVL7g5eahh7EP0rlPKzUrvUnua0P447AievsG7+x
or0hMxZDYCjGJtD9JP4Yszw/8jyP9QHFrn+w9MmLNo7S03mL59h8kilTYtk5UPJrHONjUCQaYVpb
daPcFVpsPvktcZNQKYGPRmOhZdqlY65c2Cc91RxW6u+pMPWA20yerM9Cq1jEQ9hZ2XYUR1jB2C20
Nu1gwE/ybtX3uvZIgkeevN7tX2GR5HRdeP5GF3m2kqV3L8C14CkWt7SPDQGGdwn+qB2aHxKTKLtZ
s2Xfxn9sdBYpwG3uJvp8tuO2plHB4k5C1IyI9JwXe7dvios0EmMf2h40fXs29xNgqz177YU2M43k
U/LJuVOx6T96FcQlpWeKGvTcX6VTMQSmbwpMGUXNKOmz3Y+dlTEgm9Ju56mesuyxdgPZVvc6ZxZK
V51MVEsgfYuzwRuIqvdSDXdyyLGfRWVlRWeZdFTOh94wwMJTOaXtfinHaN3q4WJ+1SgpoiOeVslt
pE/sb/IBc/TdDOpuujQRPZ13OqZtAgxChs0+S7UmZPrz9PnQi46VaTgoH89HGurDpu+xL2xN+qle
6T6Q9h3erM7Y6tQUUewTkztkfDKyKTDndui3odMOO7cT8Yeo6shdFXXh78qm159teGcN8dIoWpg1
nz5LwV5T8mqUnnGumqnmKiU0uoq84RWvzRgQS7kSmXYCTpYOs+NYMAo1al1MMrnj5sWNVMD2rmDP
gIGzsTy1Vtl+mMXg7isaN5NdMsyJvs4rIdf4071HzmB82pNbOdO6SDrvAdb5dKbihdA168t10nb5
Q0e5wRpdDl8MoPsdWe3qKNwSd17rRxuReEeucYulQp8fQ+yC20FW9pFtsBnEqbbDDykukdevsqpt
HyaLCoMY1e6iRXoIdlpFBSs5xg0CBHDuqyp2C8pZ+d93labyM7qOR4IDDWQq8uLcSEsnU5NaySNP
a3+q0IqA+hgVJzz1C+lhijJVU/vTrxEgqDyto/6AeTS7+F44fOv4bMMgqkK9XeE6nCL8dOMITUtT
rLabxeNUuM9jkhR3cqp2FT66jfTF/MxWOPmwDY3WPc+tH4o+ajn2+pTfezrtnBQ3uet3RAC0ub+p
u+ln1fd1EdSTUVDzGnZ7EM3p1iFNm72y63YeVEVRLTfkzH2rJ4ywG1E41mFxt6EPjP06IVG1cTSj
39iD7LdCNnJHPEmtmtFmJ66b2TYfaUG3mijf5752FGxtecMU4w2pyP41FC2dUW2UXyPflMe2Tsuj
nGL/soi175YaaJ77X/nz/ygHy04GwN2ylPnn5+JT170371n8Zwn0H//s345GT/9NWIbH2Ao3wBGc
hX/XQF33NxsaJlj3P0VgTf03CzUSUdJitesDYfuHAur9xv+xoG2+DtMlOPung/BfHYzYyP4wS7ug
x5mvAfhxEDNXW3+mb8fhVDeceMaO7p+CZAyLsZlresV0Grr2ezuFxp0+Cea5OhMrLELluBLZ5Bhb
02q7rbJddfYB966yQZDqSUkjxPVTDxK+HMidutCr1rEj8wOlmMP3OOm7g0gxLFG/TdECVBoYYMHg
2fNBA26aUc2RiPsw12ml7uR8Mcy6JT2IZS8l2gIUvvfiIHX6ESVU7THXND8ZERDA3Aybgl8kyK6+
7t2Krk/OEXzVzWSkCaZYSioKw4yZ/4tk03apd0pxmVOWNjcrqfNSi3Hpf6R4JPFGy0mwHw2tXTX1
4sGdk+SS1Y4EH8bOqDBHAvJWp+YjZcjGWvjUuhizSxOcSVwoCfCUvOdQr0CmRXm6KzzJKjGi8kMh
LQxYM+3eu1N5SkRE1hioaVD6LoCH3FqZOFuz89b54mauqI3IrHw/TznwGFzA9nQXa0Rcbau/soW6
wVbVrEfLJT/UJDumaIKZXjp220pz8hyuWFFzQo+qW8dZ6Dx2uAMZovIhFGsWLuA70hPxP5idXmGt
w9LGeO5VXr+Ni8nnBe43YgjK3qjeNVObbqamCd98fPd4i736Ord6X61mQl6POaGGY5NOLcXMmrhh
eUnZnehMonleB9bQ8PXs4BSjux9a2pvzqB+eBjjGGB4jOyN9MoMBMrWlL9DTDpUhtR+t2cFDyGz4
rjxpdHmVyn1RuWOcShIRWHRjhiyQjhN+4SL5SBzVbARP5d6PK1TKyqZfSVR2+TbYhnNxQT0EOVXY
35u6+tZ5k/sNJoO7c4syuy9Q5a/t5DrPOE9ybM+xOCPFuGdkgAjdzYnXmJrO3GCi8yDGcttIU9v7
AkphGFnGnUsOlhACOndNnSBPtJ21y2zW33plnN3ko9WWhCmMcaW7hX6eUOOIYEBhfu5cIzZWrc8I
VMlkeiCBMB4K1epXQ897i8BSPbybtqeOYeZYTKZtiro/d2+KSsszMY92z67ffGyFp8XoG5ViuE2b
t9wJiZRm6dzKFdggW95ShMXeNFTQSNfgw8BFZplG2lIR+wsVRD1IeSOCk8aPIcmuroPjFM9WhXOd
rgY+CplRCLKhLZhgXUm3EJZ07pZmOyDYpka40RLhXXhdMIdniZHcpjGQCI8I0FV1c3ceYFZfR31Y
arxce3rAfKMfraxru8CSevVDYLK5iG6iwNbQU2M7NLKl9MkVSx2Uq52KMCOLrXRV6fzQMr0Ys1ne
hMOcXdtG9ZsuHMtNl+v5WidHunddhZu701R959UqvHgukmlceOggdTeSbIMqvWVn3DYswPPkbKSh
sXWryTnrcTueCOLQfmga3bkUtbqJuaO82XVObgOGxUDR0/RUo8SRsqnN8FFvCqxNxgyqV3FZ5mLV
PNhlzd7AGhDdAG7t2Mvw3ZpUkd2GUa7uCL6Nd5PN6MAXjrbbmhDCmlcqqddur0nR7N2Kcr7MDgUY
HBxnnavJq+74xTWxXftZ4jJ8hvtS/VQm7b8B61tu7rOnPbhTb1yG1rCf9ZBu2JUOK+SEMw6UB+Uq
J8YjHunSND9xcoFt1VX9bFdCX2tYRZ+TGF9lZmYEfkmOzBtTn8CoIQLgTsjirWhjtaIGrF1Jq0kJ
qSM6PlhuEdKa5HVEgz01HaqsNM9Rkcy7qXDsHYwAShXSZl5HeqofUuKar6W2EOpao7+XfhNe+ctw
Uarc10Tpxa6Impgan1LeGg5ra/Zb5ffJ5ZZv6Ubxxr7Jf/O9orj2zpDsDIpy1uNMHj5Dt6KqpjEd
UsaucWiyhXskIW+taNmKwcnm/RGfs8Sj4DUHa9YJNLBCp5Ew+QG91ls5ZXusY25kLqdaEVZvtTnL
EcXLvY8kdvJinA5YYKNHmebDT0CJau005rjrGlWyg+sNqW+caaaFSxAAj5m2UPo1JNho1TVmfa5d
rVvNFjGCpifHmnvc/kOB8mMD42GYtAPLfG3gptt9ot3o1bAvluJKN4luRoJfe17VG31xPxYphhok
xmbTNTrdSCN0ig2bnYRkB1jA/JiZXSsCPpOCy3pfYh2Me7BrXZofuN0u/y16VG6aEVE0bpo3wXS+
H/rKRStS5lgzMWGdaNp5WveWMW8Mqext6ZMANDWWlxukGH8/6jUyLytVbtujH6j03p1xL+RweK+i
5TzDy57tQ5+QqPSm4jjW/HqQou3HQhCJm8faumESNddTFdZrvS2nk66MHRz+eY8Pcd6Vyshf9TH8
WOb0vAjf49Ft96rIN/xWtH1HpKWzopW0KzI8ulWtRksz7yGOsRpMK/FgsVikSFNLx0sMIhlGhGfj
XbRjYa2dctS3BZkpFkhC+xzDxjnqRtU88/2QZ9er+z0u3SUJ0lcfRVcMe8+o3WNn1PN7EwM1g9Rx
DTOdkFw+zZtoKMIHPoCC36lBbSJGPO/dMwj3Wq2Mb/UIOZS/0ST9Meq7mvaPK2EccW4ZSV7VIAjV
xFEN/00bBhqwAF7uDQceNi8nAatYM02iYBoUVpq/ER7NBr9F5Klkw6bTsXZ4WeNDaeFTJaiKZTUe
rWFfMm8Iel5LJ98RnKnuuV8k5U0ewcZZa0XO+M9rYBUfRMuUuzakTNXFH8fmyACbYyoyk58FbxwK
RzHSrijK8LAgO8mTWRTpJuW6u/Jo5WEhNrD8NHCw8NeuuS+gtW3NlH0xMSEUATz7K+kZyV4UCRA5
V9X3rVKXJYldIgbyA9tDA9993YOKCDy6CykwavVVC0JvhaVm/FDJOH6q2vhoydG8kWh7d+pB0E1o
RdXF1yIHakvf7Wc3SVZlZaqza9KKLGsxnKi9b8g8TgRu2xi2SM7x1IrePJrSezRmxSbDIKFmsBGn
A7GkuaklhZHXbbS2c7vcxm2fnNKyVJdOD7VdSG6FyZl6E9ykDqYwNgFOOoUfnikxszUN9YPxbPIx
9MVjYlcYUE0vuooiHnftPHRbLWW1gbLsPFDF0ZzNkqNzlRpzuratLmcfP/jREcrvsG0poDjAs5bf
9XQYNx6Qj2uRNP1GqMqlSImDs2pT+7Yn/L/S8pB0s8RtTv0ccrSiqDyIk2S0N3OOkmyDTKCyLlEu
7GwRb9POBTvbZ0o7FH5lnVyvGTZ6M1r7YsRHHnZ+vGlqYd/0mhHu7cnKdtmkdBKe1CzUBl6qjPz0
IcnD6uqqnAhV78xGQ55dS17tpOn2UmX1vYAFsB6NJLpYSekGnjtbzxx07OmdxmM6SBxjYxFhPZJG
9PZu2LF1wTj86ZWZd+O0dv40wC/bOV0pNhJ3yX7OLPvgy4kKRnCJgEhqwm1Z6HPUTGUZcBswWXKV
47kV3Z0t2i33VFbXLv5fL29eNABUcMHj22HSvrGSigMzqtiw0zMWOF5DGK9iaIGPsVBLxXiscZPR
psquPxgtrPl9i0nK6QuoGTwY+C4K4N33IrOdR2HN9nqKupD/ghF2VkjB6S+T5V/YKgkg/ps5bfF4
/mL3Ba4/p0oQ1sffnAeAXLO1huX4iLyYwK8H3ZeWSnsiFTI+ssX1XydvqC+U4kUnbzLktzBR6cZC
jusDzTaiXdxP9eNo+vOWIADakZslJPN87QrgxYj50tJMxYWWvMPKt7hKkCpJXpF9NY1LTUn23aBI
rgb1AhIlIyecaD8ip4rWAPyri5YStCoa57mXrX7QutqGUeTrxJl7tgaUEq1SCWuNDS9fWkjKt1YO
1C/HO2Gv6Z6cWVy77hs39WhnG9Qjk3x9rwb72ncos9xQKMSApsyWeFrbczzdDX1JIDmb6ahb8jCA
OWNiy0SMmUpjbH05MXle21FjfxidTKJAwwTO4V5wKdwMml69zEaRG+s68YjCNbEznEMQEIdYctvF
cGg4dyAOh0uLmXxJLOkhO8DM+Gn3IvmoKX9Z15bmbrD1G/fVnLGXwesI2MZBFa2mwTmxddb2lAlA
Q0rnShJ/wmRCibUYfw7t+NrGs6QB3U62VlPkW3uU+RZqrwic2jYDk5Q4wrJNgFEiTLowZeaZrOjQ
bpB0k8uclZzQcWkcQ+bXa0KOgdjvOCT3fNH9AzWK6mBUFitFwQ1bT6b2s447roKFUuNjXCjoqz33
BbADsuzdlUfu8Gws9+zh68qdf12/jeUmzinMpRyUE9n9ThpbwSwPtUbF8cVcbvLs7Hg3ecv9Xv+6
6QuCEbwfuP8rzevO/jITZMt0kC9zQp8PBmDGCExGm4KNqSu/JWHMgNF8zRpIpHxAzTKCmF/TSL8M
JsUyohRf0wopkHGnmpjD2qGA2osX4qDZS20TxWDg/a+Rx/saf3S3Ket9J92RnZijH8fGRuG06pQP
POPBRUCHKmTr7nuNhzXwAZIQ2h+6qzU2GP09TFm8xJi3Zjk/1KwV17lW32tGkuxrjV+YifH5HoHS
IlDOTVmb2lGjfjuZjy6JrhONYljDmhAmep/2QFc8rmFsLemsjiOhvyA726set9qV6g/3WfIZAKZe
RkbAHOMKpzZzZEbF0E2cdSgFDJlE3sGMfk2eztcU6i8DaY2OuJPLkNov4yqKKWI6E2y9jLL42fjY
l/GWP+Qy6DLyNsvwS/R06fxjIMY25u5sLfK+lZb8NrZpRp80A3S/jNLAJMu3chmvva9Jm8zdtI+X
8dtfBvHpaybPl/G8WAZ19HzjRPzRfRmXMb77mujZhYY4jBnzyXprh5SXdBGy7u/wHlGy+KUMZItI
QD7I3duLcGB0vb/+12/UL5PILxuh34Uv7obGotq4XxUsv7xQffLZk4Vta1cEGHZezVf5rr3Ke3Xb
3uEzKy9a/m+6b74aE/70E3WB/35JA/DN/6K7/vITFXpBAXQi3A2OF37P2Wd37GfS6TYbk9mA3wqf
qZkkmq8eZfF33aaztLbC7JOtxkjH5ZSEW/ok8PGBEenGzRyaHEkGgWGxg6iiveAecx4dkLgZZkG4
P6uMjtAMv/vU7EdZyTNWqezoUAh94GDm64Y6ELD3v+9pWNixQImYnYt0SxpIbqdWsXuq7PnNgaJy
aFWYHwZpeztK67WnIsFs1ndldsduPzoZOQ3Pp4H73UPsOzNidELBWq5GiAVj0jwDJVi+jrS+v/zr
j/Er5vKHX6plAAkEWoiKamHs/zNT1fdNZj2p7abOs45llhw6I/RgM2n+xlhS24aPMww+i6Yvmz5Y
K0lv7wbD1b+1eAagkVRu9DENvTqCyZlOmqe3Vw9R9pX7XfVsevW5T0o4lYJQOndgdd8AhCBcp9UZ
X83UXIxxoDREh3ZAqjvFFQLp2D22HousTTfxpzJ9Y+CCHM7lO7iWHMBD58SsppbzKPs6mtKvY2r+
OrKsr+MrXk4yfznTvn5h/9c23f8PJnoW/LJwPN0wLBhPRGkWG+8/1+3/OtzzH/9ZfvzH+r14L79y
P+uk/3Xd/Zc/4m/y/pL84RWCDkK0GolygUz+nvwRv3mubhO7xlHESnypWfj75lv85iLtY2ihTsQg
DMJj+3eLs2BdQFqcfkgS4/wrvf+JwK//GclrwcE3+Y7gdHVog+RK9ceLowwBCUbObKH0PQFbvfEf
9S1kZiplwOKEcBlXiY24c28+lRAaQB6mT61MSA68hGO3TkKAPrQyiKx488MBqAkmEARZbcvYsBtq
jzLk4hB736fRWsd1lOJ3funVm5FQYk3OHCPqg1lrWJ6nixk3W1M71t5nM67yPZr0YNxGHzH6SWmf
gfLh97+pmn4VOp9FSTNvY9A0TrjAOdgpaoYv9NuhKNeT0lZ5PO0KJ0sDuA/M/ukWpoNw0mab6l20
qvr8dozfSkgUTqm+C798ajtxV8iZIzCiN9k2p3rTumCVyh9dfnFIrAb9kHXcNNGiI7WwQzgYA+Ua
Vz1NH6J8Pphms10gmppVHDNBipVKPdpQ4UfX9aXtG0xtUbPuNbp1U3FFjQzGOk25qlfcE61yVUrr
m2DRwMe0oXt+U/lYYmgtsdpsO1nTqumok4d8mWftjZl0146KRYh3PzLXuY4Vf1aKB+yg1g2WmdNT
pVFbVRDExVkQpB75zdhhzeowQwZ0iVyjAuCOZDURWF5yK0mnpOO/wZHr/+0MXb53xKWJIsJAd/9b
rIqVTzsmFW/acS6emo4x07La6zjA6lPOhny8XOeuc+yycpfXF47yna1bp67w+vUkeHMW7VAGIexf
J8lZp4pt0qsteJ0w6EPzag4Vi1P7wbRs7pxpu5ZmcpLlSfTWrqnLkz5tydgiKy20kvnOzuO9R1V9
o/u3HR8haNdPi8y+nX3T+DWHFFLj699GKVBHPV6h2DAPLhaAlmZEokCoEFGj7anMuDZ2sx1M6zrR
H+VYKHATxP4RdTLuHtMasLTusLk9WvqbQ2ga+9dROvOtqBQV5VUkAd2N8Ct4KrOJPNaQnL3yxpVI
MZj34YV9L7ppn+diH6nFOKiRwMr6+TxTeEvK+X2q7W1VcsTwLwyYMEC76hMKlfViGNFtWj4aTXMD
L3Xf6uqxHN/m1B5PNbAaTHO6+02GJjMeXgYNonNc66yyeUSUA0HW8ffSbD4EfavBAHo0wosaeGFl
48Y3+5NUEuji/PbL2/UvZ9c/ja7LU4Jb1xSkH8VC9P3jG2iuhJehkoYbp8p+Rlr/QuP8Lmz0N9nE
BMIaRoXmXobZ7dwPl6htDqkab5ME9mzWSoA8LlI4jTppWx+oR75Qbs27q7tvPR/bbJdd03igsaL8
N0+39VUB/evVgogea1EojDYHzAJS/+Ofu63xyQ86cSvpNlANDCxuxDhmYGaknrk3kwIL85gLEe/F
GiFKQysMpN5DeduO9BzJOKcoVZttjIosVWv84Sc9MvC9JFhuAOAbDhmGZHjgxboz8/GapP0DRNan
md0Z9Q8fkT0+FBZ9W6bXrasYQBhDLj/Y6arN6Hm8GgfjU/RxD7my07jdsVFI5xodtlb38TBcldef
aieMaK4oSUxBznYc/03CgAm4NT06en4h+s0sadcU0qfxxjbrR9Vpn7Ap8pWXOJ8MFg+tk77SG75r
YLESbP6s82QXYwnyS/4EkTw0rRXMnr/qYvtZFfqOTYAfuM13FWvkaqAwFmpDUiYSinwBjYEZPMTa
CBRiBnAi3MLdDdLRlWx7GtTCoOTJ32sAoIK471/SpnuSzGNOab3OmXyKkvECRGJeDz16utbtzVSu
ZCT29MA/2LHaCzYiZZf+CEX9kMfdsTfMtYOi0aQ2phPvGpXigF/yqix0z9x7KHQD8BJkTW54G5+V
MPDCbRSLLR/9GSbrRgGgdMbkBRF0P7hsm0Bm2tONqM4dkFOSBdvOz4FtJYHevqbzA1P/Kku8ddyf
/Do7pGX4QkSNERKgwAq/0VYia3kZfFRFNz3T0GcWx3h3nWuPOC2b9JssyP/4bUr7EdbX1Wyi+6aO
272khXtX4akNNCmBeSkVEKdnKZTi+bJYyRifiVccQs1/sdo8CLXqw6PaoGYbjwsnPNOCyj8xVNdO
ZnuDRry0wveinPssSk+WMak1kkUg2asiKur8893ar3rKFtQ6jNqSk+k1NdTeHMd90RMZzcqEjGxX
PJlx+Rq19nlszOcc8mZgO6/2LB/Hou82PNUHGbqfs2Gewj52Ngr5jH1sBFPOQczopmmNYyvf2NZ8
ZvALgL1fUIGanduId6ud8w2I2PvKnN4ziZ2HBdUrOCvSM1zQ6Wqcro3VPQ2zdxxcFi+mSDZadshY
guGGgMVId7wRp49661CF25/EONI8PSPRlOwLc3OvqXE9CnEt8KGzc3suMKF6DdBey793eghk2TdG
/gDlbOWH8W07JHdmgXjD026l9eecAFTkNzaO/sM4mQzytIR2SFi6vA8hTmbepz+LtxEHM/akrd77
P9DP10kBTiWy7fvQ/1m4HBn+xtJuG++21m9t81L299iTro1W4NOqA8e8h7kTYFt4KiAbU9u1qtDc
MRgGA7tGI/2ZJUQGlLfJ2lfXf1R2HCQjVvf8E3fjWje+9dGDGyGneg0wvTtw5ASXSKj2Bo+LdpOK
eyZC6ormswhZZ00AVDmjEvxLbOtsq9hkxAD8FBKLc9HVD9KkEKvN1673Amfie50Zr55/LUZFufSd
iHoCnVn8IkOYoj2usyj5rnBJFP0nbCwMc/730TTzLciP71rt7JMm2meJ/jEA8SA9GxdBVvnkubIo
sH21NiYYD37lHVK8VZDLfepMo+KZBsVoMxqT9aE1hh54yPiV6XpbhZXYbsrHOJLuek71Rz/TvlXT
9ALL9vG/mDu3ncaRIAy/CuJir2Yt23F80IqRJoA4DMyiIdLuHWoSL3GIk+ADTPL087UPwU4cyNDR
jvuO2FR3l7urq6qr/lr+GN8s70BZeyZp5bgz7ZB4nTyC8DVxp6fAm6Qnzy/TwSxdnrlL5xwkv56N
5/1Y51YIverH7Z/WE/keOpAblBQJ8UsmgFyAanJhv9yRuABe+dJ27sPn50su9n13kfbB7pofP43N
8/GYCPVZjGpCkgOo7RKYWlaoGD8n/UkH0DQjPEVRvyLU+T9wNY/HxtlDYl9aFAcxZtE1QXBIX+7N
nrqEfCZnXDuYoLtRZiWyAB20cOOdcAUdnCTdiLp3lpecTh6Bmvs0Wt6ZEydFTZt3vZtHc6yDMJj2
Az38N5IVq8IZ/rOH+O57Z2RcwhtgT0Dd7Znzu0Vv5jgJOc+AW+pgt/ZwYNzuyx5VsDQLa7ixQMIq
PEo+vZkF06Q/26iisNNLZdxVM6HdKi6Y4EVU1KkVqazcw1skJiIJknToHx1SFKHTtagDRj3svB0e
kLzyUDz2TM0lqsIDkyJ/miNfVFi0jQlvz2+zFsUmndoE2DTTJKKGxQNYBVXjOrMravZ6RmmTBWsU
KiwwYYFJ/LlUMGXDBq+wwPG0jqwWoRMAnrWc5f8/C8QwDAj6iEHFGiRVFuABYsi78GCNRIUHXQ3X
nguQCGhzsuEEqfDA5THR7/gV8o5aNHmqgcvKharzNzXbI8ISp0pt4o6hkSOod4i+XG0PGN2i+QMF
hAfJwrxQWwCuBlo8V+oEmTYsAIJNifPE4UtSRdby5P4W8YEPpK/D8myRBFt3QQefm2US5Q8yQHX5
O10K0YDP44HtlrXfJQXXRu5n4cgXw6NDuQtwYisuAqMrRZ2JPGk8DBxL07mn8ah2mLOBjJuWbQYi
GtdhJ351EZgeKBFU3baYXUUEOhyU4ElYZALlG6R1O8CwuUVVXQGW5nDNZFo4fZvEgK0ZnBOcEr9Z
Hdi6EfBTS5wOJVlo6BqXbC4l6KBUXwKWzkmALMiZ07rD0DIYnursZQUtk5pbaH1bloAs6c6dRUuF
gInDTfUkAEKta3DtYkmEtazVVoJraRYxf9QrLHjUOkkoL5WUmWBrlHTlPHCLY29NN+pobhftwzVw
4svWOiYAEWTng8qTPT9iIBkk4Bi2oeN/ri0Bx9WAJZJppq2zBxgusH/IaFVJ4GicdTKDdm3qnoYn
HlhkYJayxuN26QEAesqsJ6VTAMsYeCkySfj2WVsziZAQto3h6Lb1KAQb0FBd/abc41yM605dI3Yd
zXNQBUHgzdsv7P0djIaVB4XSEpNh5mAJ/LhSxfLdF0r3wyaBwq0gtWbpO6i92F/M/Zx0rlrLvz/X
dI3M9Ks8LE3BrJ/i34sJbnZd66ucVfnjeeBHIhoAIZlp9cUwJebb0SHhBSMwRZtqZnZlIeDXAR0d
1oZb2QNv0o9jEZZkJGdyz5Iq2V4wElGVbO6pUCV7LqKFmIoqYSIXpOKvTDkIt1cnpXw2BpZqF5ci
DNODP0Q4/+vgqyB0PKhxCNVaKi+qvXwV0RQP5WOdSbmBoEybdTpZI5wp3aqEr8RjPBLDF9+flxzI
dimVoBHmqtSvxXC0aN5D0Ee8qXbw9zBg+CWdbBflmqgq4Zt0mA5GfhQtasQBbjbKH6Tk+djWv0mn
Y3Ff0slGnXtSVEf9XYxFnJDgXKOdq6WqtG8DSlTXBBbxAVIRUyXcF2EwOfgmhmlJS3Kk0CNViWc5
301CvFBXVOn/48fJQc+fgqxZG32uB6hSvxYIcwRWEtXWeGFyqlI/S8dQr7m1V55dZdqz2ohXvjJV
upzKq5C/b8Fgdg/Y90UsUU3jKv/xlwDsvQeh/iXarXj2dpCClUL8ljJwHSxnUV0dwMlMkoy3hxO2
HwXztL6CCuJ72L3NwZnVb5H1RUBl+dvH5eY7ALaq30BMJZ/KYWbHYObol9hEquv2PUwmxbGf+JNR
UI7ydeTyikJ15FtDbItbkD2ch8cSkiMAt39UDrcyhT2sG6rciCQJ4o0eCuSPPXzfHbBFFD/xJUfB
VuySPdgjfR8p+rCu47+6NVTX0ZUYgr1S/cASy0SnZgImP9kVpgmye/n44zKiWR59JFj8ze/VZG+u
7ig3rdDy7r3p3+omtnxjMPFF9PknAAAA//8=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hyperlink" Target="#RetailSales!A1"/><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hyperlink" Target="#Pivot_1!A1"/></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svg"/><Relationship Id="rId3" Type="http://schemas.openxmlformats.org/officeDocument/2006/relationships/chart" Target="../charts/chart12.xml"/><Relationship Id="rId7" Type="http://schemas.openxmlformats.org/officeDocument/2006/relationships/image" Target="../media/image10.svg"/><Relationship Id="rId12" Type="http://schemas.openxmlformats.org/officeDocument/2006/relationships/image" Target="../media/image15.png"/><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9.png"/><Relationship Id="rId11" Type="http://schemas.openxmlformats.org/officeDocument/2006/relationships/image" Target="../media/image14.svg"/><Relationship Id="rId5" Type="http://schemas.openxmlformats.org/officeDocument/2006/relationships/chart" Target="../charts/chart14.xml"/><Relationship Id="rId10" Type="http://schemas.openxmlformats.org/officeDocument/2006/relationships/image" Target="../media/image13.png"/><Relationship Id="rId4" Type="http://schemas.openxmlformats.org/officeDocument/2006/relationships/chart" Target="../charts/chart13.xml"/><Relationship Id="rId9"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editAs="oneCell">
    <xdr:from>
      <xdr:col>6</xdr:col>
      <xdr:colOff>358140</xdr:colOff>
      <xdr:row>5</xdr:row>
      <xdr:rowOff>99060</xdr:rowOff>
    </xdr:from>
    <xdr:to>
      <xdr:col>8</xdr:col>
      <xdr:colOff>335280</xdr:colOff>
      <xdr:row>19</xdr:row>
      <xdr:rowOff>5715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32790256-5C74-69E3-BC86-E34E5B903F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90253" y="1097173"/>
              <a:ext cx="1833844" cy="2460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5</xdr:row>
      <xdr:rowOff>106680</xdr:rowOff>
    </xdr:from>
    <xdr:to>
      <xdr:col>12</xdr:col>
      <xdr:colOff>533401</xdr:colOff>
      <xdr:row>19</xdr:row>
      <xdr:rowOff>13335</xdr:rowOff>
    </xdr:to>
    <mc:AlternateContent xmlns:mc="http://schemas.openxmlformats.org/markup-compatibility/2006" xmlns:a14="http://schemas.microsoft.com/office/drawing/2010/main">
      <mc:Choice Requires="a14">
        <xdr:graphicFrame macro="">
          <xdr:nvGraphicFramePr>
            <xdr:cNvPr id="3" name="Customer Type">
              <a:extLst>
                <a:ext uri="{FF2B5EF4-FFF2-40B4-BE49-F238E27FC236}">
                  <a16:creationId xmlns:a16="http://schemas.microsoft.com/office/drawing/2014/main" id="{89536AD2-0E67-5BAB-E803-99F92DA79109}"/>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9333963" y="1104793"/>
              <a:ext cx="1835240" cy="2460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5</xdr:row>
      <xdr:rowOff>91440</xdr:rowOff>
    </xdr:from>
    <xdr:to>
      <xdr:col>16</xdr:col>
      <xdr:colOff>266701</xdr:colOff>
      <xdr:row>18</xdr:row>
      <xdr:rowOff>180975</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0B37112E-568A-BB12-C83A-E6692762D21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514249" y="1089553"/>
              <a:ext cx="1835240" cy="2461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30480</xdr:colOff>
      <xdr:row>44</xdr:row>
      <xdr:rowOff>53340</xdr:rowOff>
    </xdr:from>
    <xdr:to>
      <xdr:col>5</xdr:col>
      <xdr:colOff>1341120</xdr:colOff>
      <xdr:row>67</xdr:row>
      <xdr:rowOff>99060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1B342EA7-A564-466D-B8D1-3AF3B746BD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91540" y="8237220"/>
              <a:ext cx="6012180" cy="4251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1463040</xdr:colOff>
      <xdr:row>44</xdr:row>
      <xdr:rowOff>38100</xdr:rowOff>
    </xdr:from>
    <xdr:to>
      <xdr:col>15</xdr:col>
      <xdr:colOff>251460</xdr:colOff>
      <xdr:row>67</xdr:row>
      <xdr:rowOff>83820</xdr:rowOff>
    </xdr:to>
    <xdr:graphicFrame macro="">
      <xdr:nvGraphicFramePr>
        <xdr:cNvPr id="7" name="Chart 6">
          <a:extLst>
            <a:ext uri="{FF2B5EF4-FFF2-40B4-BE49-F238E27FC236}">
              <a16:creationId xmlns:a16="http://schemas.microsoft.com/office/drawing/2014/main" id="{128B71E5-D310-8B85-EEF5-E4C84C2AD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536513</xdr:colOff>
      <xdr:row>249</xdr:row>
      <xdr:rowOff>11430</xdr:rowOff>
    </xdr:from>
    <xdr:to>
      <xdr:col>16</xdr:col>
      <xdr:colOff>231713</xdr:colOff>
      <xdr:row>264</xdr:row>
      <xdr:rowOff>11430</xdr:rowOff>
    </xdr:to>
    <xdr:graphicFrame macro="">
      <xdr:nvGraphicFramePr>
        <xdr:cNvPr id="9" name="Chart 8">
          <a:extLst>
            <a:ext uri="{FF2B5EF4-FFF2-40B4-BE49-F238E27FC236}">
              <a16:creationId xmlns:a16="http://schemas.microsoft.com/office/drawing/2014/main" id="{D0576F28-88FD-8BC0-EDD2-C049C8ECF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76201</xdr:colOff>
      <xdr:row>1</xdr:row>
      <xdr:rowOff>54429</xdr:rowOff>
    </xdr:from>
    <xdr:to>
      <xdr:col>26</xdr:col>
      <xdr:colOff>424543</xdr:colOff>
      <xdr:row>45</xdr:row>
      <xdr:rowOff>163286</xdr:rowOff>
    </xdr:to>
    <xdr:sp macro="" textlink="">
      <xdr:nvSpPr>
        <xdr:cNvPr id="3" name="Rectangle: Rounded Corners 2">
          <a:extLst>
            <a:ext uri="{FF2B5EF4-FFF2-40B4-BE49-F238E27FC236}">
              <a16:creationId xmlns:a16="http://schemas.microsoft.com/office/drawing/2014/main" id="{57FA092F-AA07-8B94-9A9E-8A3F5CFC9902}"/>
            </a:ext>
          </a:extLst>
        </xdr:cNvPr>
        <xdr:cNvSpPr/>
      </xdr:nvSpPr>
      <xdr:spPr>
        <a:xfrm>
          <a:off x="685801" y="239486"/>
          <a:ext cx="15588342" cy="8251371"/>
        </a:xfrm>
        <a:prstGeom prst="roundRect">
          <a:avLst>
            <a:gd name="adj" fmla="val 4509"/>
          </a:avLst>
        </a:prstGeom>
        <a:solidFill>
          <a:schemeClr val="accent4">
            <a:lumMod val="20000"/>
            <a:lumOff val="80000"/>
          </a:schemeClr>
        </a:solidFill>
        <a:ln w="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117021</xdr:colOff>
      <xdr:row>10</xdr:row>
      <xdr:rowOff>43543</xdr:rowOff>
    </xdr:from>
    <xdr:to>
      <xdr:col>6</xdr:col>
      <xdr:colOff>278946</xdr:colOff>
      <xdr:row>43</xdr:row>
      <xdr:rowOff>180974</xdr:rowOff>
    </xdr:to>
    <xdr:sp macro="" textlink="">
      <xdr:nvSpPr>
        <xdr:cNvPr id="5" name="Rectangle: Diagonal Corners Rounded 4">
          <a:extLst>
            <a:ext uri="{FF2B5EF4-FFF2-40B4-BE49-F238E27FC236}">
              <a16:creationId xmlns:a16="http://schemas.microsoft.com/office/drawing/2014/main" id="{5242156C-A37B-8A0D-5FF1-FD9D06E6DDE1}"/>
            </a:ext>
          </a:extLst>
        </xdr:cNvPr>
        <xdr:cNvSpPr/>
      </xdr:nvSpPr>
      <xdr:spPr>
        <a:xfrm>
          <a:off x="1336221" y="1894114"/>
          <a:ext cx="2600325" cy="6244317"/>
        </a:xfrm>
        <a:prstGeom prst="round2DiagRect">
          <a:avLst>
            <a:gd name="adj1" fmla="val 11165"/>
            <a:gd name="adj2" fmla="val 0"/>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359228</xdr:colOff>
      <xdr:row>11</xdr:row>
      <xdr:rowOff>79737</xdr:rowOff>
    </xdr:from>
    <xdr:to>
      <xdr:col>6</xdr:col>
      <xdr:colOff>130627</xdr:colOff>
      <xdr:row>19</xdr:row>
      <xdr:rowOff>100692</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10A1B234-CBFF-419D-BEC8-B3629D6E3F8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78428" y="2115366"/>
              <a:ext cx="2209799" cy="1501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348344</xdr:colOff>
      <xdr:row>20</xdr:row>
      <xdr:rowOff>165462</xdr:rowOff>
    </xdr:from>
    <xdr:to>
      <xdr:col>6</xdr:col>
      <xdr:colOff>130628</xdr:colOff>
      <xdr:row>26</xdr:row>
      <xdr:rowOff>74022</xdr:rowOff>
    </xdr:to>
    <mc:AlternateContent xmlns:mc="http://schemas.openxmlformats.org/markup-compatibility/2006" xmlns:a14="http://schemas.microsoft.com/office/drawing/2010/main">
      <mc:Choice Requires="a14">
        <xdr:graphicFrame macro="">
          <xdr:nvGraphicFramePr>
            <xdr:cNvPr id="7" name="Customer Type 1">
              <a:extLst>
                <a:ext uri="{FF2B5EF4-FFF2-40B4-BE49-F238E27FC236}">
                  <a16:creationId xmlns:a16="http://schemas.microsoft.com/office/drawing/2014/main" id="{A615DE85-4462-42DC-BE12-71A08C54A50A}"/>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567544" y="3866605"/>
              <a:ext cx="2220684" cy="1018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348344</xdr:colOff>
      <xdr:row>27</xdr:row>
      <xdr:rowOff>138792</xdr:rowOff>
    </xdr:from>
    <xdr:to>
      <xdr:col>6</xdr:col>
      <xdr:colOff>130628</xdr:colOff>
      <xdr:row>34</xdr:row>
      <xdr:rowOff>0</xdr:rowOff>
    </xdr:to>
    <mc:AlternateContent xmlns:mc="http://schemas.openxmlformats.org/markup-compatibility/2006" xmlns:a14="http://schemas.microsoft.com/office/drawing/2010/main">
      <mc:Choice Requires="a14">
        <xdr:graphicFrame macro="">
          <xdr:nvGraphicFramePr>
            <xdr:cNvPr id="8" name="Salesperson 1">
              <a:extLst>
                <a:ext uri="{FF2B5EF4-FFF2-40B4-BE49-F238E27FC236}">
                  <a16:creationId xmlns:a16="http://schemas.microsoft.com/office/drawing/2014/main" id="{DB5A5D2F-68DD-4A28-B1B6-EB5602CC2AD1}"/>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567544" y="5135335"/>
              <a:ext cx="2220684" cy="1156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163285</xdr:colOff>
      <xdr:row>2</xdr:row>
      <xdr:rowOff>152400</xdr:rowOff>
    </xdr:from>
    <xdr:to>
      <xdr:col>25</xdr:col>
      <xdr:colOff>337456</xdr:colOff>
      <xdr:row>8</xdr:row>
      <xdr:rowOff>141514</xdr:rowOff>
    </xdr:to>
    <xdr:sp macro="" textlink="">
      <xdr:nvSpPr>
        <xdr:cNvPr id="9" name="Rectangle: Single Corner Rounded 8" descr="Goal: Build a dashboard summarizing sales across Regions, States, and Categories.&#10;">
          <a:extLst>
            <a:ext uri="{FF2B5EF4-FFF2-40B4-BE49-F238E27FC236}">
              <a16:creationId xmlns:a16="http://schemas.microsoft.com/office/drawing/2014/main" id="{5622977E-86FD-2E26-8A27-FAC2B33902C0}"/>
            </a:ext>
            <a:ext uri="{C183D7F6-B498-43B3-948B-1728B52AA6E4}">
              <adec:decorative xmlns:adec="http://schemas.microsoft.com/office/drawing/2017/decorative" val="0"/>
            </a:ext>
          </a:extLst>
        </xdr:cNvPr>
        <xdr:cNvSpPr/>
      </xdr:nvSpPr>
      <xdr:spPr>
        <a:xfrm>
          <a:off x="1382485" y="522514"/>
          <a:ext cx="14194971" cy="1099457"/>
        </a:xfrm>
        <a:prstGeom prst="round1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326572</xdr:colOff>
      <xdr:row>3</xdr:row>
      <xdr:rowOff>119744</xdr:rowOff>
    </xdr:from>
    <xdr:to>
      <xdr:col>24</xdr:col>
      <xdr:colOff>119743</xdr:colOff>
      <xdr:row>7</xdr:row>
      <xdr:rowOff>141515</xdr:rowOff>
    </xdr:to>
    <xdr:sp macro="" textlink="">
      <xdr:nvSpPr>
        <xdr:cNvPr id="10" name="TextBox 9">
          <a:extLst>
            <a:ext uri="{FF2B5EF4-FFF2-40B4-BE49-F238E27FC236}">
              <a16:creationId xmlns:a16="http://schemas.microsoft.com/office/drawing/2014/main" id="{6072C467-D42A-A796-DDCE-C1F957C12FB1}"/>
            </a:ext>
          </a:extLst>
        </xdr:cNvPr>
        <xdr:cNvSpPr txBox="1"/>
      </xdr:nvSpPr>
      <xdr:spPr>
        <a:xfrm>
          <a:off x="2155372" y="674915"/>
          <a:ext cx="12594771" cy="76200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t>DASHBOARD SUMMARIZING SALES ACCROSS REGIONS,</a:t>
          </a:r>
          <a:r>
            <a:rPr lang="en-IN" sz="2800" baseline="0"/>
            <a:t> STATES AND CATEGORIES </a:t>
          </a:r>
          <a:endParaRPr lang="en-IN" sz="2800"/>
        </a:p>
      </xdr:txBody>
    </xdr:sp>
    <xdr:clientData/>
  </xdr:twoCellAnchor>
  <xdr:twoCellAnchor>
    <xdr:from>
      <xdr:col>6</xdr:col>
      <xdr:colOff>489857</xdr:colOff>
      <xdr:row>10</xdr:row>
      <xdr:rowOff>32658</xdr:rowOff>
    </xdr:from>
    <xdr:to>
      <xdr:col>17</xdr:col>
      <xdr:colOff>228600</xdr:colOff>
      <xdr:row>43</xdr:row>
      <xdr:rowOff>174172</xdr:rowOff>
    </xdr:to>
    <xdr:sp macro="" textlink="">
      <xdr:nvSpPr>
        <xdr:cNvPr id="16" name="Rectangle: Rounded Corners 15">
          <a:extLst>
            <a:ext uri="{FF2B5EF4-FFF2-40B4-BE49-F238E27FC236}">
              <a16:creationId xmlns:a16="http://schemas.microsoft.com/office/drawing/2014/main" id="{391E755F-20BD-A690-9B5D-DDB3815E2591}"/>
            </a:ext>
          </a:extLst>
        </xdr:cNvPr>
        <xdr:cNvSpPr/>
      </xdr:nvSpPr>
      <xdr:spPr>
        <a:xfrm>
          <a:off x="4147457" y="1883229"/>
          <a:ext cx="6444343" cy="6248400"/>
        </a:xfrm>
        <a:prstGeom prst="roundRect">
          <a:avLst>
            <a:gd name="adj" fmla="val 8231"/>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87086</xdr:colOff>
      <xdr:row>11</xdr:row>
      <xdr:rowOff>21771</xdr:rowOff>
    </xdr:from>
    <xdr:to>
      <xdr:col>17</xdr:col>
      <xdr:colOff>87086</xdr:colOff>
      <xdr:row>42</xdr:row>
      <xdr:rowOff>76200</xdr:rowOff>
    </xdr:to>
    <xdr:graphicFrame macro="">
      <xdr:nvGraphicFramePr>
        <xdr:cNvPr id="12" name="Chart 11">
          <a:extLst>
            <a:ext uri="{FF2B5EF4-FFF2-40B4-BE49-F238E27FC236}">
              <a16:creationId xmlns:a16="http://schemas.microsoft.com/office/drawing/2014/main" id="{5D05E0BA-E507-4EFC-A70C-7A4769096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43543</xdr:colOff>
      <xdr:row>11</xdr:row>
      <xdr:rowOff>38100</xdr:rowOff>
    </xdr:from>
    <xdr:to>
      <xdr:col>14</xdr:col>
      <xdr:colOff>163286</xdr:colOff>
      <xdr:row>13</xdr:row>
      <xdr:rowOff>10886</xdr:rowOff>
    </xdr:to>
    <xdr:sp macro="" textlink="">
      <xdr:nvSpPr>
        <xdr:cNvPr id="13" name="TextBox 12">
          <a:extLst>
            <a:ext uri="{FF2B5EF4-FFF2-40B4-BE49-F238E27FC236}">
              <a16:creationId xmlns:a16="http://schemas.microsoft.com/office/drawing/2014/main" id="{0CE282F5-957B-63F0-83FB-64CD7D855D0C}"/>
            </a:ext>
          </a:extLst>
        </xdr:cNvPr>
        <xdr:cNvSpPr txBox="1"/>
      </xdr:nvSpPr>
      <xdr:spPr>
        <a:xfrm>
          <a:off x="6139543" y="2073729"/>
          <a:ext cx="2558143" cy="34290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STATES WISE STATES</a:t>
          </a:r>
        </a:p>
      </xdr:txBody>
    </xdr:sp>
    <xdr:clientData/>
  </xdr:twoCellAnchor>
  <xdr:twoCellAnchor>
    <xdr:from>
      <xdr:col>17</xdr:col>
      <xdr:colOff>424543</xdr:colOff>
      <xdr:row>10</xdr:row>
      <xdr:rowOff>21772</xdr:rowOff>
    </xdr:from>
    <xdr:to>
      <xdr:col>25</xdr:col>
      <xdr:colOff>370115</xdr:colOff>
      <xdr:row>43</xdr:row>
      <xdr:rowOff>108858</xdr:rowOff>
    </xdr:to>
    <xdr:sp macro="" textlink="">
      <xdr:nvSpPr>
        <xdr:cNvPr id="17" name="Rectangle: Rounded Corners 16">
          <a:extLst>
            <a:ext uri="{FF2B5EF4-FFF2-40B4-BE49-F238E27FC236}">
              <a16:creationId xmlns:a16="http://schemas.microsoft.com/office/drawing/2014/main" id="{03B3CC31-0F21-42EB-9944-A03DA096A312}"/>
            </a:ext>
          </a:extLst>
        </xdr:cNvPr>
        <xdr:cNvSpPr/>
      </xdr:nvSpPr>
      <xdr:spPr>
        <a:xfrm>
          <a:off x="10787743" y="1872343"/>
          <a:ext cx="4822372" cy="6193972"/>
        </a:xfrm>
        <a:prstGeom prst="roundRect">
          <a:avLst>
            <a:gd name="adj" fmla="val 8231"/>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576945</xdr:colOff>
      <xdr:row>14</xdr:row>
      <xdr:rowOff>54429</xdr:rowOff>
    </xdr:from>
    <xdr:to>
      <xdr:col>25</xdr:col>
      <xdr:colOff>239486</xdr:colOff>
      <xdr:row>42</xdr:row>
      <xdr:rowOff>108857</xdr:rowOff>
    </xdr:to>
    <xdr:graphicFrame macro="">
      <xdr:nvGraphicFramePr>
        <xdr:cNvPr id="14" name="Chart 13">
          <a:extLst>
            <a:ext uri="{FF2B5EF4-FFF2-40B4-BE49-F238E27FC236}">
              <a16:creationId xmlns:a16="http://schemas.microsoft.com/office/drawing/2014/main" id="{EF7EDBFD-834D-4B06-B2C5-C31B20FB5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326570</xdr:colOff>
      <xdr:row>10</xdr:row>
      <xdr:rowOff>152402</xdr:rowOff>
    </xdr:from>
    <xdr:to>
      <xdr:col>25</xdr:col>
      <xdr:colOff>195943</xdr:colOff>
      <xdr:row>13</xdr:row>
      <xdr:rowOff>87086</xdr:rowOff>
    </xdr:to>
    <xdr:sp macro="" textlink="">
      <xdr:nvSpPr>
        <xdr:cNvPr id="15" name="TextBox 14">
          <a:extLst>
            <a:ext uri="{FF2B5EF4-FFF2-40B4-BE49-F238E27FC236}">
              <a16:creationId xmlns:a16="http://schemas.microsoft.com/office/drawing/2014/main" id="{9BBEC5A8-E3F6-4DB8-8101-1F123F33CAAE}"/>
            </a:ext>
          </a:extLst>
        </xdr:cNvPr>
        <xdr:cNvSpPr txBox="1"/>
      </xdr:nvSpPr>
      <xdr:spPr>
        <a:xfrm>
          <a:off x="11299370" y="2002973"/>
          <a:ext cx="4136573" cy="489856"/>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a:r>
            <a:rPr lang="en-IN" sz="2000" b="1" i="0" baseline="0">
              <a:solidFill>
                <a:schemeClr val="dk1"/>
              </a:solidFill>
              <a:effectLst/>
              <a:latin typeface="+mn-lt"/>
              <a:ea typeface="+mn-ea"/>
              <a:cs typeface="+mn-cs"/>
            </a:rPr>
            <a:t>DISCOUNT % VS </a:t>
          </a:r>
          <a:r>
            <a:rPr lang="en-IN" sz="2000" b="1">
              <a:solidFill>
                <a:schemeClr val="dk1"/>
              </a:solidFill>
              <a:latin typeface="+mn-lt"/>
              <a:ea typeface="+mn-ea"/>
              <a:cs typeface="+mn-cs"/>
            </a:rPr>
            <a:t>SALES</a:t>
          </a:r>
          <a:r>
            <a:rPr lang="en-IN" sz="2000" b="1" i="0" baseline="0">
              <a:solidFill>
                <a:schemeClr val="dk1"/>
              </a:solidFill>
              <a:effectLst/>
              <a:latin typeface="+mn-lt"/>
              <a:ea typeface="+mn-ea"/>
              <a:cs typeface="+mn-cs"/>
            </a:rPr>
            <a:t> CORRELATION </a:t>
          </a:r>
          <a:endParaRPr lang="en-IN" sz="3200">
            <a:effectLst/>
          </a:endParaRPr>
        </a:p>
      </xdr:txBody>
    </xdr:sp>
    <xdr:clientData/>
  </xdr:twoCellAnchor>
  <xdr:twoCellAnchor>
    <xdr:from>
      <xdr:col>2</xdr:col>
      <xdr:colOff>359229</xdr:colOff>
      <xdr:row>34</xdr:row>
      <xdr:rowOff>174172</xdr:rowOff>
    </xdr:from>
    <xdr:to>
      <xdr:col>6</xdr:col>
      <xdr:colOff>76200</xdr:colOff>
      <xdr:row>38</xdr:row>
      <xdr:rowOff>97973</xdr:rowOff>
    </xdr:to>
    <xdr:sp macro="" textlink="">
      <xdr:nvSpPr>
        <xdr:cNvPr id="18" name="Rectangle: Rounded Corners 17">
          <a:extLst>
            <a:ext uri="{FF2B5EF4-FFF2-40B4-BE49-F238E27FC236}">
              <a16:creationId xmlns:a16="http://schemas.microsoft.com/office/drawing/2014/main" id="{6F113E3A-6CA4-691C-983B-F15ADB35DF8A}"/>
            </a:ext>
          </a:extLst>
        </xdr:cNvPr>
        <xdr:cNvSpPr/>
      </xdr:nvSpPr>
      <xdr:spPr>
        <a:xfrm>
          <a:off x="1578429" y="6466115"/>
          <a:ext cx="2155371" cy="66402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381001</xdr:colOff>
      <xdr:row>39</xdr:row>
      <xdr:rowOff>108857</xdr:rowOff>
    </xdr:from>
    <xdr:to>
      <xdr:col>6</xdr:col>
      <xdr:colOff>97972</xdr:colOff>
      <xdr:row>43</xdr:row>
      <xdr:rowOff>32658</xdr:rowOff>
    </xdr:to>
    <xdr:sp macro="" textlink="">
      <xdr:nvSpPr>
        <xdr:cNvPr id="19" name="Rectangle: Rounded Corners 18">
          <a:extLst>
            <a:ext uri="{FF2B5EF4-FFF2-40B4-BE49-F238E27FC236}">
              <a16:creationId xmlns:a16="http://schemas.microsoft.com/office/drawing/2014/main" id="{27DD793A-EC9C-4D49-9650-B27B2BCE098C}"/>
            </a:ext>
          </a:extLst>
        </xdr:cNvPr>
        <xdr:cNvSpPr/>
      </xdr:nvSpPr>
      <xdr:spPr>
        <a:xfrm>
          <a:off x="1600201" y="7326086"/>
          <a:ext cx="2155371" cy="66402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10885</xdr:colOff>
      <xdr:row>35</xdr:row>
      <xdr:rowOff>141515</xdr:rowOff>
    </xdr:from>
    <xdr:to>
      <xdr:col>5</xdr:col>
      <xdr:colOff>337457</xdr:colOff>
      <xdr:row>37</xdr:row>
      <xdr:rowOff>119744</xdr:rowOff>
    </xdr:to>
    <xdr:sp macro="" textlink="">
      <xdr:nvSpPr>
        <xdr:cNvPr id="20" name="TextBox 19">
          <a:hlinkClick xmlns:r="http://schemas.openxmlformats.org/officeDocument/2006/relationships" r:id="rId3"/>
          <a:extLst>
            <a:ext uri="{FF2B5EF4-FFF2-40B4-BE49-F238E27FC236}">
              <a16:creationId xmlns:a16="http://schemas.microsoft.com/office/drawing/2014/main" id="{36F977A7-0492-A4DB-9DCE-0E4C662B2E55}"/>
            </a:ext>
          </a:extLst>
        </xdr:cNvPr>
        <xdr:cNvSpPr txBox="1"/>
      </xdr:nvSpPr>
      <xdr:spPr>
        <a:xfrm>
          <a:off x="1839685" y="6618515"/>
          <a:ext cx="1545772" cy="348343"/>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ROW DATA</a:t>
          </a:r>
        </a:p>
      </xdr:txBody>
    </xdr:sp>
    <xdr:clientData/>
  </xdr:twoCellAnchor>
  <xdr:twoCellAnchor>
    <xdr:from>
      <xdr:col>2</xdr:col>
      <xdr:colOff>595992</xdr:colOff>
      <xdr:row>40</xdr:row>
      <xdr:rowOff>65314</xdr:rowOff>
    </xdr:from>
    <xdr:to>
      <xdr:col>5</xdr:col>
      <xdr:colOff>312964</xdr:colOff>
      <xdr:row>42</xdr:row>
      <xdr:rowOff>43543</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50155776-D6CD-45AA-848C-5813280C9C3D}"/>
            </a:ext>
          </a:extLst>
        </xdr:cNvPr>
        <xdr:cNvSpPr txBox="1"/>
      </xdr:nvSpPr>
      <xdr:spPr>
        <a:xfrm>
          <a:off x="1815192" y="7467600"/>
          <a:ext cx="1545772" cy="348343"/>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PIVOT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777240</xdr:colOff>
      <xdr:row>30</xdr:row>
      <xdr:rowOff>57150</xdr:rowOff>
    </xdr:from>
    <xdr:to>
      <xdr:col>10</xdr:col>
      <xdr:colOff>182880</xdr:colOff>
      <xdr:row>45</xdr:row>
      <xdr:rowOff>57150</xdr:rowOff>
    </xdr:to>
    <xdr:graphicFrame macro="">
      <xdr:nvGraphicFramePr>
        <xdr:cNvPr id="2" name="Chart 1">
          <a:extLst>
            <a:ext uri="{FF2B5EF4-FFF2-40B4-BE49-F238E27FC236}">
              <a16:creationId xmlns:a16="http://schemas.microsoft.com/office/drawing/2014/main" id="{47A03359-91CC-CBD7-B857-274EB1CDD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404448</xdr:colOff>
      <xdr:row>28</xdr:row>
      <xdr:rowOff>76200</xdr:rowOff>
    </xdr:from>
    <xdr:to>
      <xdr:col>21</xdr:col>
      <xdr:colOff>287217</xdr:colOff>
      <xdr:row>42</xdr:row>
      <xdr:rowOff>146539</xdr:rowOff>
    </xdr:to>
    <xdr:graphicFrame macro="">
      <xdr:nvGraphicFramePr>
        <xdr:cNvPr id="3" name="Chart 2">
          <a:extLst>
            <a:ext uri="{FF2B5EF4-FFF2-40B4-BE49-F238E27FC236}">
              <a16:creationId xmlns:a16="http://schemas.microsoft.com/office/drawing/2014/main" id="{E742DE0E-D7B4-B67A-9D37-4DB7F35F1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391886</xdr:colOff>
      <xdr:row>1</xdr:row>
      <xdr:rowOff>156753</xdr:rowOff>
    </xdr:from>
    <xdr:to>
      <xdr:col>28</xdr:col>
      <xdr:colOff>457200</xdr:colOff>
      <xdr:row>44</xdr:row>
      <xdr:rowOff>141513</xdr:rowOff>
    </xdr:to>
    <xdr:sp macro="" textlink="">
      <xdr:nvSpPr>
        <xdr:cNvPr id="2" name="Rectangle: Rounded Corners 1">
          <a:extLst>
            <a:ext uri="{FF2B5EF4-FFF2-40B4-BE49-F238E27FC236}">
              <a16:creationId xmlns:a16="http://schemas.microsoft.com/office/drawing/2014/main" id="{2BDE5CFA-4622-7131-FAF8-FA82BFE71973}"/>
            </a:ext>
          </a:extLst>
        </xdr:cNvPr>
        <xdr:cNvSpPr/>
      </xdr:nvSpPr>
      <xdr:spPr>
        <a:xfrm>
          <a:off x="2830286" y="341810"/>
          <a:ext cx="14695714" cy="7942217"/>
        </a:xfrm>
        <a:prstGeom prst="roundRect">
          <a:avLst>
            <a:gd name="adj" fmla="val 666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533400</xdr:colOff>
      <xdr:row>3</xdr:row>
      <xdr:rowOff>174172</xdr:rowOff>
    </xdr:from>
    <xdr:to>
      <xdr:col>27</xdr:col>
      <xdr:colOff>468086</xdr:colOff>
      <xdr:row>9</xdr:row>
      <xdr:rowOff>163286</xdr:rowOff>
    </xdr:to>
    <xdr:sp macro="" textlink="">
      <xdr:nvSpPr>
        <xdr:cNvPr id="3" name="Rectangle: Single Corner Rounded 2" descr="Goal: Build a dashboard summarizing sales across Regions, States, and Categories.&#10;">
          <a:extLst>
            <a:ext uri="{FF2B5EF4-FFF2-40B4-BE49-F238E27FC236}">
              <a16:creationId xmlns:a16="http://schemas.microsoft.com/office/drawing/2014/main" id="{D52A2674-7A73-4D8D-B586-A7990AFBB5C3}"/>
            </a:ext>
            <a:ext uri="{C183D7F6-B498-43B3-948B-1728B52AA6E4}">
              <adec:decorative xmlns:adec="http://schemas.microsoft.com/office/drawing/2017/decorative" val="0"/>
            </a:ext>
          </a:extLst>
        </xdr:cNvPr>
        <xdr:cNvSpPr/>
      </xdr:nvSpPr>
      <xdr:spPr>
        <a:xfrm>
          <a:off x="3581400" y="729343"/>
          <a:ext cx="13345886" cy="1099457"/>
        </a:xfrm>
        <a:prstGeom prst="round1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555173</xdr:colOff>
      <xdr:row>4</xdr:row>
      <xdr:rowOff>141515</xdr:rowOff>
    </xdr:from>
    <xdr:to>
      <xdr:col>27</xdr:col>
      <xdr:colOff>108857</xdr:colOff>
      <xdr:row>8</xdr:row>
      <xdr:rowOff>163287</xdr:rowOff>
    </xdr:to>
    <xdr:sp macro="" textlink="">
      <xdr:nvSpPr>
        <xdr:cNvPr id="4" name="TextBox 3">
          <a:extLst>
            <a:ext uri="{FF2B5EF4-FFF2-40B4-BE49-F238E27FC236}">
              <a16:creationId xmlns:a16="http://schemas.microsoft.com/office/drawing/2014/main" id="{B466FDCB-1607-4F22-B1A3-62F8BD6E3366}"/>
            </a:ext>
          </a:extLst>
        </xdr:cNvPr>
        <xdr:cNvSpPr txBox="1"/>
      </xdr:nvSpPr>
      <xdr:spPr>
        <a:xfrm>
          <a:off x="4212773" y="881744"/>
          <a:ext cx="12355284" cy="76200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rgbClr val="F7923F"/>
              </a:solidFill>
            </a:rPr>
            <a:t>DASHBOARD  TO ANALYSE SALESPERSON PERFORMANCE</a:t>
          </a:r>
        </a:p>
      </xdr:txBody>
    </xdr:sp>
    <xdr:clientData/>
  </xdr:twoCellAnchor>
  <xdr:twoCellAnchor>
    <xdr:from>
      <xdr:col>21</xdr:col>
      <xdr:colOff>76198</xdr:colOff>
      <xdr:row>11</xdr:row>
      <xdr:rowOff>130627</xdr:rowOff>
    </xdr:from>
    <xdr:to>
      <xdr:col>27</xdr:col>
      <xdr:colOff>538840</xdr:colOff>
      <xdr:row>21</xdr:row>
      <xdr:rowOff>21769</xdr:rowOff>
    </xdr:to>
    <xdr:sp macro="" textlink="">
      <xdr:nvSpPr>
        <xdr:cNvPr id="6" name="Rectangle: Rounded Corners 5">
          <a:extLst>
            <a:ext uri="{FF2B5EF4-FFF2-40B4-BE49-F238E27FC236}">
              <a16:creationId xmlns:a16="http://schemas.microsoft.com/office/drawing/2014/main" id="{435614D7-2FC7-EDB1-BFC7-975EC4DC633A}"/>
            </a:ext>
          </a:extLst>
        </xdr:cNvPr>
        <xdr:cNvSpPr/>
      </xdr:nvSpPr>
      <xdr:spPr>
        <a:xfrm>
          <a:off x="12877798" y="2166256"/>
          <a:ext cx="4120242" cy="1741713"/>
        </a:xfrm>
        <a:prstGeom prst="roundRect">
          <a:avLst/>
        </a:prstGeom>
        <a:solidFill>
          <a:srgbClr val="7030A0"/>
        </a:solidFill>
        <a:ln>
          <a:noFill/>
        </a:ln>
        <a:effectLst>
          <a:outerShdw blurRad="50800" dist="38100" dir="2700000" algn="tl" rotWithShape="0">
            <a:srgbClr val="F7923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3296"/>
            </a:solidFill>
          </a:endParaRPr>
        </a:p>
      </xdr:txBody>
    </xdr:sp>
    <xdr:clientData/>
  </xdr:twoCellAnchor>
  <xdr:twoCellAnchor>
    <xdr:from>
      <xdr:col>5</xdr:col>
      <xdr:colOff>517072</xdr:colOff>
      <xdr:row>11</xdr:row>
      <xdr:rowOff>130628</xdr:rowOff>
    </xdr:from>
    <xdr:to>
      <xdr:col>12</xdr:col>
      <xdr:colOff>370114</xdr:colOff>
      <xdr:row>21</xdr:row>
      <xdr:rowOff>21770</xdr:rowOff>
    </xdr:to>
    <xdr:sp macro="" textlink="">
      <xdr:nvSpPr>
        <xdr:cNvPr id="7" name="Rectangle: Rounded Corners 6">
          <a:extLst>
            <a:ext uri="{FF2B5EF4-FFF2-40B4-BE49-F238E27FC236}">
              <a16:creationId xmlns:a16="http://schemas.microsoft.com/office/drawing/2014/main" id="{1B77162D-E670-F6A8-BABF-2DE6EDB9246F}"/>
            </a:ext>
          </a:extLst>
        </xdr:cNvPr>
        <xdr:cNvSpPr/>
      </xdr:nvSpPr>
      <xdr:spPr>
        <a:xfrm>
          <a:off x="3565072" y="2166257"/>
          <a:ext cx="4120242" cy="1741713"/>
        </a:xfrm>
        <a:prstGeom prst="roundRect">
          <a:avLst/>
        </a:prstGeom>
        <a:solidFill>
          <a:srgbClr val="7030A0"/>
        </a:solidFill>
        <a:ln>
          <a:noFill/>
        </a:ln>
        <a:effectLst>
          <a:outerShdw blurRad="50800" dist="38100" dir="2700000" algn="tl" rotWithShape="0">
            <a:srgbClr val="F7923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3296"/>
            </a:solidFill>
          </a:endParaRPr>
        </a:p>
      </xdr:txBody>
    </xdr:sp>
    <xdr:clientData/>
  </xdr:twoCellAnchor>
  <xdr:twoCellAnchor>
    <xdr:from>
      <xdr:col>13</xdr:col>
      <xdr:colOff>296635</xdr:colOff>
      <xdr:row>11</xdr:row>
      <xdr:rowOff>130627</xdr:rowOff>
    </xdr:from>
    <xdr:to>
      <xdr:col>20</xdr:col>
      <xdr:colOff>149677</xdr:colOff>
      <xdr:row>21</xdr:row>
      <xdr:rowOff>21769</xdr:rowOff>
    </xdr:to>
    <xdr:sp macro="" textlink="">
      <xdr:nvSpPr>
        <xdr:cNvPr id="8" name="Rectangle: Rounded Corners 7">
          <a:extLst>
            <a:ext uri="{FF2B5EF4-FFF2-40B4-BE49-F238E27FC236}">
              <a16:creationId xmlns:a16="http://schemas.microsoft.com/office/drawing/2014/main" id="{1265C81C-7C57-5DB6-7AD1-79E649D70F9F}"/>
            </a:ext>
          </a:extLst>
        </xdr:cNvPr>
        <xdr:cNvSpPr/>
      </xdr:nvSpPr>
      <xdr:spPr>
        <a:xfrm>
          <a:off x="8221435" y="2166256"/>
          <a:ext cx="4120242" cy="1741713"/>
        </a:xfrm>
        <a:prstGeom prst="roundRect">
          <a:avLst/>
        </a:prstGeom>
        <a:solidFill>
          <a:srgbClr val="7030A0"/>
        </a:solidFill>
        <a:ln>
          <a:noFill/>
        </a:ln>
        <a:effectLst>
          <a:outerShdw blurRad="50800" dist="38100" dir="2700000" algn="tl" rotWithShape="0">
            <a:srgbClr val="F7923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3296"/>
            </a:solidFill>
          </a:endParaRPr>
        </a:p>
      </xdr:txBody>
    </xdr:sp>
    <xdr:clientData/>
  </xdr:twoCellAnchor>
  <xdr:twoCellAnchor>
    <xdr:from>
      <xdr:col>21</xdr:col>
      <xdr:colOff>370113</xdr:colOff>
      <xdr:row>14</xdr:row>
      <xdr:rowOff>97972</xdr:rowOff>
    </xdr:from>
    <xdr:to>
      <xdr:col>25</xdr:col>
      <xdr:colOff>283027</xdr:colOff>
      <xdr:row>20</xdr:row>
      <xdr:rowOff>130629</xdr:rowOff>
    </xdr:to>
    <xdr:sp macro="" textlink="Pivot_2!I9">
      <xdr:nvSpPr>
        <xdr:cNvPr id="10" name="TextBox 9">
          <a:extLst>
            <a:ext uri="{FF2B5EF4-FFF2-40B4-BE49-F238E27FC236}">
              <a16:creationId xmlns:a16="http://schemas.microsoft.com/office/drawing/2014/main" id="{AA08AACF-2992-EB81-4E00-A15F7C843C0C}"/>
            </a:ext>
          </a:extLst>
        </xdr:cNvPr>
        <xdr:cNvSpPr txBox="1"/>
      </xdr:nvSpPr>
      <xdr:spPr>
        <a:xfrm>
          <a:off x="13171713" y="2688772"/>
          <a:ext cx="2351314" cy="114300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200" b="1" i="0" u="none" strike="noStrike">
              <a:solidFill>
                <a:srgbClr val="F7923F"/>
              </a:solidFill>
              <a:effectLst/>
              <a:latin typeface="+mn-lt"/>
              <a:ea typeface="+mn-ea"/>
              <a:cs typeface="+mn-cs"/>
            </a:rPr>
            <a:t>Vikram</a:t>
          </a:r>
          <a:r>
            <a:rPr lang="en-IN" sz="3200" b="1">
              <a:solidFill>
                <a:srgbClr val="F7923F"/>
              </a:solidFill>
              <a:effectLst/>
            </a:rPr>
            <a:t> </a:t>
          </a:r>
          <a:endParaRPr lang="en-US" sz="3200" b="1" i="0" u="none" strike="noStrike">
            <a:solidFill>
              <a:srgbClr val="F7923F"/>
            </a:solidFill>
            <a:effectLst/>
            <a:latin typeface="Calibri"/>
            <a:ea typeface="Calibri"/>
            <a:cs typeface="Calibri"/>
          </a:endParaRPr>
        </a:p>
        <a:p>
          <a:pPr algn="l"/>
          <a:fld id="{9DD1C206-9BB8-4EE6-8064-5E1FE2707F4D}" type="TxLink">
            <a:rPr lang="en-US" sz="3200" b="1" i="0" u="none" strike="noStrike">
              <a:solidFill>
                <a:srgbClr val="F7923F"/>
              </a:solidFill>
              <a:effectLst/>
              <a:latin typeface="Calibri"/>
              <a:ea typeface="Calibri"/>
              <a:cs typeface="Calibri"/>
            </a:rPr>
            <a:pPr algn="l"/>
            <a:t> ₹ 4.15M</a:t>
          </a:fld>
          <a:endParaRPr lang="en-IN" sz="3200" b="1">
            <a:solidFill>
              <a:srgbClr val="F7923F"/>
            </a:solidFill>
          </a:endParaRPr>
        </a:p>
      </xdr:txBody>
    </xdr:sp>
    <xdr:clientData/>
  </xdr:twoCellAnchor>
  <xdr:twoCellAnchor>
    <xdr:from>
      <xdr:col>21</xdr:col>
      <xdr:colOff>337455</xdr:colOff>
      <xdr:row>11</xdr:row>
      <xdr:rowOff>185054</xdr:rowOff>
    </xdr:from>
    <xdr:to>
      <xdr:col>27</xdr:col>
      <xdr:colOff>315684</xdr:colOff>
      <xdr:row>14</xdr:row>
      <xdr:rowOff>174171</xdr:rowOff>
    </xdr:to>
    <xdr:sp macro="" textlink="">
      <xdr:nvSpPr>
        <xdr:cNvPr id="11" name="TextBox 10">
          <a:extLst>
            <a:ext uri="{FF2B5EF4-FFF2-40B4-BE49-F238E27FC236}">
              <a16:creationId xmlns:a16="http://schemas.microsoft.com/office/drawing/2014/main" id="{1FD8339B-1A29-4E57-B5A0-A7838A23596C}"/>
            </a:ext>
          </a:extLst>
        </xdr:cNvPr>
        <xdr:cNvSpPr txBox="1"/>
      </xdr:nvSpPr>
      <xdr:spPr>
        <a:xfrm>
          <a:off x="13139055" y="2220683"/>
          <a:ext cx="3635829" cy="544288"/>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200" b="1">
              <a:solidFill>
                <a:srgbClr val="F7923F"/>
              </a:solidFill>
              <a:latin typeface="+mn-lt"/>
              <a:ea typeface="+mn-ea"/>
              <a:cs typeface="+mn-cs"/>
            </a:rPr>
            <a:t>Highest Salesperson</a:t>
          </a:r>
        </a:p>
      </xdr:txBody>
    </xdr:sp>
    <xdr:clientData/>
  </xdr:twoCellAnchor>
  <xdr:twoCellAnchor>
    <xdr:from>
      <xdr:col>6</xdr:col>
      <xdr:colOff>179615</xdr:colOff>
      <xdr:row>12</xdr:row>
      <xdr:rowOff>152401</xdr:rowOff>
    </xdr:from>
    <xdr:to>
      <xdr:col>10</xdr:col>
      <xdr:colOff>244929</xdr:colOff>
      <xdr:row>15</xdr:row>
      <xdr:rowOff>108857</xdr:rowOff>
    </xdr:to>
    <xdr:sp macro="" textlink="">
      <xdr:nvSpPr>
        <xdr:cNvPr id="9" name="TextBox 8">
          <a:extLst>
            <a:ext uri="{FF2B5EF4-FFF2-40B4-BE49-F238E27FC236}">
              <a16:creationId xmlns:a16="http://schemas.microsoft.com/office/drawing/2014/main" id="{FEC390FC-0F8D-43C9-9AE1-D062D9EAE6AB}"/>
            </a:ext>
          </a:extLst>
        </xdr:cNvPr>
        <xdr:cNvSpPr txBox="1"/>
      </xdr:nvSpPr>
      <xdr:spPr>
        <a:xfrm>
          <a:off x="3837215" y="2373087"/>
          <a:ext cx="2503714" cy="511627"/>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200" b="1">
              <a:solidFill>
                <a:srgbClr val="F7923F"/>
              </a:solidFill>
              <a:latin typeface="+mn-lt"/>
              <a:ea typeface="+mn-ea"/>
              <a:cs typeface="+mn-cs"/>
            </a:rPr>
            <a:t>Total Orders</a:t>
          </a:r>
        </a:p>
      </xdr:txBody>
    </xdr:sp>
    <xdr:clientData/>
  </xdr:twoCellAnchor>
  <xdr:twoCellAnchor>
    <xdr:from>
      <xdr:col>6</xdr:col>
      <xdr:colOff>293917</xdr:colOff>
      <xdr:row>15</xdr:row>
      <xdr:rowOff>185053</xdr:rowOff>
    </xdr:from>
    <xdr:to>
      <xdr:col>10</xdr:col>
      <xdr:colOff>206831</xdr:colOff>
      <xdr:row>19</xdr:row>
      <xdr:rowOff>21771</xdr:rowOff>
    </xdr:to>
    <xdr:sp macro="" textlink="Pivot_2!K9">
      <xdr:nvSpPr>
        <xdr:cNvPr id="12" name="TextBox 11">
          <a:extLst>
            <a:ext uri="{FF2B5EF4-FFF2-40B4-BE49-F238E27FC236}">
              <a16:creationId xmlns:a16="http://schemas.microsoft.com/office/drawing/2014/main" id="{42B0FEB9-62F3-471F-BF65-4D34DE497B3A}"/>
            </a:ext>
          </a:extLst>
        </xdr:cNvPr>
        <xdr:cNvSpPr txBox="1"/>
      </xdr:nvSpPr>
      <xdr:spPr>
        <a:xfrm>
          <a:off x="3951517" y="2960910"/>
          <a:ext cx="2351314" cy="576947"/>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415F243-E62A-40D7-9AAC-D7BE7263715F}" type="TxLink">
            <a:rPr lang="en-US" sz="4000" b="1" i="0" u="none" strike="noStrike">
              <a:solidFill>
                <a:srgbClr val="F7923F"/>
              </a:solidFill>
              <a:effectLst/>
              <a:latin typeface="+mn-lt"/>
              <a:ea typeface="+mn-ea"/>
              <a:cs typeface="+mn-cs"/>
            </a:rPr>
            <a:pPr marL="0" indent="0" algn="l"/>
            <a:t>200</a:t>
          </a:fld>
          <a:endParaRPr lang="en-IN" sz="4000" b="1" i="0" u="none" strike="noStrike">
            <a:solidFill>
              <a:srgbClr val="F7923F"/>
            </a:solidFill>
            <a:effectLst/>
            <a:latin typeface="+mn-lt"/>
            <a:ea typeface="+mn-ea"/>
            <a:cs typeface="+mn-cs"/>
          </a:endParaRPr>
        </a:p>
      </xdr:txBody>
    </xdr:sp>
    <xdr:clientData/>
  </xdr:twoCellAnchor>
  <xdr:twoCellAnchor>
    <xdr:from>
      <xdr:col>13</xdr:col>
      <xdr:colOff>508907</xdr:colOff>
      <xdr:row>12</xdr:row>
      <xdr:rowOff>54428</xdr:rowOff>
    </xdr:from>
    <xdr:to>
      <xdr:col>19</xdr:col>
      <xdr:colOff>544286</xdr:colOff>
      <xdr:row>15</xdr:row>
      <xdr:rowOff>54428</xdr:rowOff>
    </xdr:to>
    <xdr:sp macro="" textlink="">
      <xdr:nvSpPr>
        <xdr:cNvPr id="13" name="TextBox 12">
          <a:extLst>
            <a:ext uri="{FF2B5EF4-FFF2-40B4-BE49-F238E27FC236}">
              <a16:creationId xmlns:a16="http://schemas.microsoft.com/office/drawing/2014/main" id="{03BB761A-8969-4759-AFB6-9C82CA0DAC6B}"/>
            </a:ext>
          </a:extLst>
        </xdr:cNvPr>
        <xdr:cNvSpPr txBox="1"/>
      </xdr:nvSpPr>
      <xdr:spPr>
        <a:xfrm>
          <a:off x="8433707" y="2275114"/>
          <a:ext cx="3692979" cy="555171"/>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200" b="1">
              <a:solidFill>
                <a:srgbClr val="F7923F"/>
              </a:solidFill>
              <a:latin typeface="+mn-lt"/>
              <a:ea typeface="+mn-ea"/>
              <a:cs typeface="+mn-cs"/>
            </a:rPr>
            <a:t>Average Order Value</a:t>
          </a:r>
        </a:p>
      </xdr:txBody>
    </xdr:sp>
    <xdr:clientData/>
  </xdr:twoCellAnchor>
  <xdr:twoCellAnchor>
    <xdr:from>
      <xdr:col>13</xdr:col>
      <xdr:colOff>473529</xdr:colOff>
      <xdr:row>16</xdr:row>
      <xdr:rowOff>10882</xdr:rowOff>
    </xdr:from>
    <xdr:to>
      <xdr:col>17</xdr:col>
      <xdr:colOff>386443</xdr:colOff>
      <xdr:row>18</xdr:row>
      <xdr:rowOff>163286</xdr:rowOff>
    </xdr:to>
    <xdr:sp macro="" textlink="Pivot_2!M9">
      <xdr:nvSpPr>
        <xdr:cNvPr id="14" name="TextBox 13">
          <a:extLst>
            <a:ext uri="{FF2B5EF4-FFF2-40B4-BE49-F238E27FC236}">
              <a16:creationId xmlns:a16="http://schemas.microsoft.com/office/drawing/2014/main" id="{515A3FBD-751C-4B2C-8015-79CAF66BF1D5}"/>
            </a:ext>
          </a:extLst>
        </xdr:cNvPr>
        <xdr:cNvSpPr txBox="1"/>
      </xdr:nvSpPr>
      <xdr:spPr>
        <a:xfrm>
          <a:off x="8398329" y="2971796"/>
          <a:ext cx="2351314" cy="522519"/>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A65B7C9-1972-4408-9518-F51505C5069B}" type="TxLink">
            <a:rPr lang="en-US" sz="3600" b="1" i="0" u="none" strike="noStrike">
              <a:solidFill>
                <a:srgbClr val="F7923F"/>
              </a:solidFill>
              <a:effectLst/>
              <a:latin typeface="+mn-lt"/>
              <a:ea typeface="+mn-ea"/>
              <a:cs typeface="+mn-cs"/>
            </a:rPr>
            <a:pPr marL="0" indent="0" algn="l"/>
            <a:t> ₹ 120.02K</a:t>
          </a:fld>
          <a:endParaRPr lang="en-IN" sz="3600" b="1" i="0" u="none" strike="noStrike">
            <a:solidFill>
              <a:srgbClr val="F7923F"/>
            </a:solidFill>
            <a:effectLst/>
            <a:latin typeface="+mn-lt"/>
            <a:ea typeface="+mn-ea"/>
            <a:cs typeface="+mn-cs"/>
          </a:endParaRPr>
        </a:p>
      </xdr:txBody>
    </xdr:sp>
    <xdr:clientData/>
  </xdr:twoCellAnchor>
  <xdr:twoCellAnchor editAs="oneCell">
    <xdr:from>
      <xdr:col>10</xdr:col>
      <xdr:colOff>217714</xdr:colOff>
      <xdr:row>13</xdr:row>
      <xdr:rowOff>130628</xdr:rowOff>
    </xdr:from>
    <xdr:to>
      <xdr:col>12</xdr:col>
      <xdr:colOff>108856</xdr:colOff>
      <xdr:row>19</xdr:row>
      <xdr:rowOff>87084</xdr:rowOff>
    </xdr:to>
    <xdr:pic>
      <xdr:nvPicPr>
        <xdr:cNvPr id="16" name="Graphic 15" descr="Shopping cart with solid fill">
          <a:extLst>
            <a:ext uri="{FF2B5EF4-FFF2-40B4-BE49-F238E27FC236}">
              <a16:creationId xmlns:a16="http://schemas.microsoft.com/office/drawing/2014/main" id="{627A2C6C-C124-6B2E-4815-A38A48A9C9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13714" y="2536371"/>
          <a:ext cx="1110342" cy="1066799"/>
        </a:xfrm>
        <a:prstGeom prst="rect">
          <a:avLst/>
        </a:prstGeom>
      </xdr:spPr>
    </xdr:pic>
    <xdr:clientData/>
  </xdr:twoCellAnchor>
  <xdr:twoCellAnchor editAs="oneCell">
    <xdr:from>
      <xdr:col>25</xdr:col>
      <xdr:colOff>402772</xdr:colOff>
      <xdr:row>14</xdr:row>
      <xdr:rowOff>152399</xdr:rowOff>
    </xdr:from>
    <xdr:to>
      <xdr:col>27</xdr:col>
      <xdr:colOff>289996</xdr:colOff>
      <xdr:row>20</xdr:row>
      <xdr:rowOff>94051</xdr:rowOff>
    </xdr:to>
    <xdr:pic>
      <xdr:nvPicPr>
        <xdr:cNvPr id="18" name="Graphic 17" descr="Trophy with solid fill">
          <a:extLst>
            <a:ext uri="{FF2B5EF4-FFF2-40B4-BE49-F238E27FC236}">
              <a16:creationId xmlns:a16="http://schemas.microsoft.com/office/drawing/2014/main" id="{E2050CBD-FBE9-DD7E-3175-C652FF221D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42772" y="2743199"/>
          <a:ext cx="1106424" cy="1051995"/>
        </a:xfrm>
        <a:prstGeom prst="rect">
          <a:avLst/>
        </a:prstGeom>
      </xdr:spPr>
    </xdr:pic>
    <xdr:clientData/>
  </xdr:twoCellAnchor>
  <xdr:twoCellAnchor editAs="oneCell">
    <xdr:from>
      <xdr:col>18</xdr:col>
      <xdr:colOff>65315</xdr:colOff>
      <xdr:row>15</xdr:row>
      <xdr:rowOff>2</xdr:rowOff>
    </xdr:from>
    <xdr:to>
      <xdr:col>19</xdr:col>
      <xdr:colOff>562139</xdr:colOff>
      <xdr:row>20</xdr:row>
      <xdr:rowOff>137596</xdr:rowOff>
    </xdr:to>
    <xdr:pic>
      <xdr:nvPicPr>
        <xdr:cNvPr id="20" name="Graphic 19" descr="Coins with solid fill">
          <a:extLst>
            <a:ext uri="{FF2B5EF4-FFF2-40B4-BE49-F238E27FC236}">
              <a16:creationId xmlns:a16="http://schemas.microsoft.com/office/drawing/2014/main" id="{DC97CCF7-3086-CA3A-2D4C-1C1683AA07C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038115" y="2775859"/>
          <a:ext cx="1106424" cy="1062880"/>
        </a:xfrm>
        <a:prstGeom prst="rect">
          <a:avLst/>
        </a:prstGeom>
      </xdr:spPr>
    </xdr:pic>
    <xdr:clientData/>
  </xdr:twoCellAnchor>
  <xdr:twoCellAnchor>
    <xdr:from>
      <xdr:col>5</xdr:col>
      <xdr:colOff>468086</xdr:colOff>
      <xdr:row>23</xdr:row>
      <xdr:rowOff>32658</xdr:rowOff>
    </xdr:from>
    <xdr:to>
      <xdr:col>16</xdr:col>
      <xdr:colOff>424543</xdr:colOff>
      <xdr:row>41</xdr:row>
      <xdr:rowOff>65315</xdr:rowOff>
    </xdr:to>
    <xdr:sp macro="" textlink="">
      <xdr:nvSpPr>
        <xdr:cNvPr id="24" name="Rectangle: Rounded Corners 23">
          <a:extLst>
            <a:ext uri="{FF2B5EF4-FFF2-40B4-BE49-F238E27FC236}">
              <a16:creationId xmlns:a16="http://schemas.microsoft.com/office/drawing/2014/main" id="{C9A01D1B-4EB4-C1EA-95D4-14176AB3D348}"/>
            </a:ext>
          </a:extLst>
        </xdr:cNvPr>
        <xdr:cNvSpPr/>
      </xdr:nvSpPr>
      <xdr:spPr>
        <a:xfrm>
          <a:off x="3516086" y="4288972"/>
          <a:ext cx="6662057" cy="3363686"/>
        </a:xfrm>
        <a:prstGeom prst="roundRect">
          <a:avLst>
            <a:gd name="adj" fmla="val 13431"/>
          </a:avLst>
        </a:prstGeom>
        <a:solidFill>
          <a:schemeClr val="bg1">
            <a:lumMod val="95000"/>
          </a:schemeClr>
        </a:solidFill>
        <a:ln w="9525"/>
        <a:effectLst>
          <a:outerShdw blurRad="50800" dist="38100" dir="2700000" algn="tl" rotWithShape="0">
            <a:srgbClr val="7030A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174171</xdr:colOff>
      <xdr:row>25</xdr:row>
      <xdr:rowOff>141515</xdr:rowOff>
    </xdr:from>
    <xdr:to>
      <xdr:col>16</xdr:col>
      <xdr:colOff>206829</xdr:colOff>
      <xdr:row>40</xdr:row>
      <xdr:rowOff>97972</xdr:rowOff>
    </xdr:to>
    <xdr:graphicFrame macro="">
      <xdr:nvGraphicFramePr>
        <xdr:cNvPr id="22" name="Chart 21">
          <a:extLst>
            <a:ext uri="{FF2B5EF4-FFF2-40B4-BE49-F238E27FC236}">
              <a16:creationId xmlns:a16="http://schemas.microsoft.com/office/drawing/2014/main" id="{110972E2-01EE-41A9-91F0-B7836EC26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402774</xdr:colOff>
      <xdr:row>23</xdr:row>
      <xdr:rowOff>43544</xdr:rowOff>
    </xdr:from>
    <xdr:to>
      <xdr:col>27</xdr:col>
      <xdr:colOff>533402</xdr:colOff>
      <xdr:row>41</xdr:row>
      <xdr:rowOff>76201</xdr:rowOff>
    </xdr:to>
    <xdr:sp macro="" textlink="">
      <xdr:nvSpPr>
        <xdr:cNvPr id="25" name="Rectangle: Rounded Corners 24">
          <a:extLst>
            <a:ext uri="{FF2B5EF4-FFF2-40B4-BE49-F238E27FC236}">
              <a16:creationId xmlns:a16="http://schemas.microsoft.com/office/drawing/2014/main" id="{E977A8D5-5C1B-4124-A618-685414BC2A6A}"/>
            </a:ext>
          </a:extLst>
        </xdr:cNvPr>
        <xdr:cNvSpPr/>
      </xdr:nvSpPr>
      <xdr:spPr>
        <a:xfrm>
          <a:off x="10765974" y="4299858"/>
          <a:ext cx="6226628" cy="3363686"/>
        </a:xfrm>
        <a:prstGeom prst="roundRect">
          <a:avLst>
            <a:gd name="adj" fmla="val 12784"/>
          </a:avLst>
        </a:prstGeom>
        <a:solidFill>
          <a:schemeClr val="bg1">
            <a:lumMod val="95000"/>
          </a:schemeClr>
        </a:solidFill>
        <a:ln w="9525"/>
        <a:effectLst>
          <a:outerShdw blurRad="50800" dist="38100" dir="2700000" algn="tl" rotWithShape="0">
            <a:srgbClr val="7030A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152401</xdr:colOff>
      <xdr:row>26</xdr:row>
      <xdr:rowOff>163285</xdr:rowOff>
    </xdr:from>
    <xdr:to>
      <xdr:col>27</xdr:col>
      <xdr:colOff>195944</xdr:colOff>
      <xdr:row>40</xdr:row>
      <xdr:rowOff>174171</xdr:rowOff>
    </xdr:to>
    <xdr:graphicFrame macro="">
      <xdr:nvGraphicFramePr>
        <xdr:cNvPr id="23" name="Chart 22">
          <a:extLst>
            <a:ext uri="{FF2B5EF4-FFF2-40B4-BE49-F238E27FC236}">
              <a16:creationId xmlns:a16="http://schemas.microsoft.com/office/drawing/2014/main" id="{3E5B7F29-921B-4C2C-8165-FBC6348D4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87085</xdr:colOff>
      <xdr:row>23</xdr:row>
      <xdr:rowOff>130628</xdr:rowOff>
    </xdr:from>
    <xdr:to>
      <xdr:col>11</xdr:col>
      <xdr:colOff>489856</xdr:colOff>
      <xdr:row>25</xdr:row>
      <xdr:rowOff>130627</xdr:rowOff>
    </xdr:to>
    <xdr:sp macro="" textlink="">
      <xdr:nvSpPr>
        <xdr:cNvPr id="26" name="TextBox 25">
          <a:extLst>
            <a:ext uri="{FF2B5EF4-FFF2-40B4-BE49-F238E27FC236}">
              <a16:creationId xmlns:a16="http://schemas.microsoft.com/office/drawing/2014/main" id="{C409B481-4343-EC17-F40E-9FB52F046DFB}"/>
            </a:ext>
          </a:extLst>
        </xdr:cNvPr>
        <xdr:cNvSpPr txBox="1"/>
      </xdr:nvSpPr>
      <xdr:spPr>
        <a:xfrm>
          <a:off x="4354285" y="4386942"/>
          <a:ext cx="2841171"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ysClr val="windowText" lastClr="000000"/>
              </a:solidFill>
            </a:rPr>
            <a:t>SALES BY SALESPERSON</a:t>
          </a:r>
        </a:p>
      </xdr:txBody>
    </xdr:sp>
    <xdr:clientData/>
  </xdr:twoCellAnchor>
  <xdr:twoCellAnchor>
    <xdr:from>
      <xdr:col>18</xdr:col>
      <xdr:colOff>457200</xdr:colOff>
      <xdr:row>24</xdr:row>
      <xdr:rowOff>0</xdr:rowOff>
    </xdr:from>
    <xdr:to>
      <xdr:col>24</xdr:col>
      <xdr:colOff>555171</xdr:colOff>
      <xdr:row>26</xdr:row>
      <xdr:rowOff>-1</xdr:rowOff>
    </xdr:to>
    <xdr:sp macro="" textlink="">
      <xdr:nvSpPr>
        <xdr:cNvPr id="27" name="TextBox 26">
          <a:extLst>
            <a:ext uri="{FF2B5EF4-FFF2-40B4-BE49-F238E27FC236}">
              <a16:creationId xmlns:a16="http://schemas.microsoft.com/office/drawing/2014/main" id="{6A55181B-E1BA-44CF-8189-C2161E4D89AF}"/>
            </a:ext>
          </a:extLst>
        </xdr:cNvPr>
        <xdr:cNvSpPr txBox="1"/>
      </xdr:nvSpPr>
      <xdr:spPr>
        <a:xfrm>
          <a:off x="11430000" y="4441371"/>
          <a:ext cx="3755571" cy="370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a:solidFill>
                <a:sysClr val="windowText" lastClr="000000"/>
              </a:solidFill>
              <a:latin typeface="+mn-lt"/>
              <a:ea typeface="+mn-ea"/>
              <a:cs typeface="+mn-cs"/>
            </a:rPr>
            <a:t>QUANTITY SOLD  BY SALESPERSON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510540</xdr:colOff>
      <xdr:row>15</xdr:row>
      <xdr:rowOff>171450</xdr:rowOff>
    </xdr:from>
    <xdr:to>
      <xdr:col>9</xdr:col>
      <xdr:colOff>76200</xdr:colOff>
      <xdr:row>30</xdr:row>
      <xdr:rowOff>171450</xdr:rowOff>
    </xdr:to>
    <xdr:graphicFrame macro="">
      <xdr:nvGraphicFramePr>
        <xdr:cNvPr id="2" name="Chart 1">
          <a:extLst>
            <a:ext uri="{FF2B5EF4-FFF2-40B4-BE49-F238E27FC236}">
              <a16:creationId xmlns:a16="http://schemas.microsoft.com/office/drawing/2014/main" id="{6873CDC2-4BDF-45A4-656C-7E6B15DDA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36</xdr:row>
      <xdr:rowOff>76200</xdr:rowOff>
    </xdr:from>
    <xdr:to>
      <xdr:col>9</xdr:col>
      <xdr:colOff>99060</xdr:colOff>
      <xdr:row>51</xdr:row>
      <xdr:rowOff>76200</xdr:rowOff>
    </xdr:to>
    <xdr:graphicFrame macro="">
      <xdr:nvGraphicFramePr>
        <xdr:cNvPr id="3" name="Chart 2">
          <a:extLst>
            <a:ext uri="{FF2B5EF4-FFF2-40B4-BE49-F238E27FC236}">
              <a16:creationId xmlns:a16="http://schemas.microsoft.com/office/drawing/2014/main" id="{C89FB62E-B423-4E47-75C6-627062AF2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579120</xdr:colOff>
      <xdr:row>57</xdr:row>
      <xdr:rowOff>0</xdr:rowOff>
    </xdr:from>
    <xdr:to>
      <xdr:col>9</xdr:col>
      <xdr:colOff>144780</xdr:colOff>
      <xdr:row>72</xdr:row>
      <xdr:rowOff>0</xdr:rowOff>
    </xdr:to>
    <xdr:graphicFrame macro="">
      <xdr:nvGraphicFramePr>
        <xdr:cNvPr id="4" name="Chart 3">
          <a:extLst>
            <a:ext uri="{FF2B5EF4-FFF2-40B4-BE49-F238E27FC236}">
              <a16:creationId xmlns:a16="http://schemas.microsoft.com/office/drawing/2014/main" id="{62EEA754-AC69-8E94-F877-32A937DDD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525780</xdr:colOff>
      <xdr:row>15</xdr:row>
      <xdr:rowOff>160020</xdr:rowOff>
    </xdr:from>
    <xdr:to>
      <xdr:col>13</xdr:col>
      <xdr:colOff>525780</xdr:colOff>
      <xdr:row>29</xdr:row>
      <xdr:rowOff>66675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CAE0E47-0D1C-2ECA-C499-06636FEA6B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63200" y="2994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495300</xdr:colOff>
      <xdr:row>1</xdr:row>
      <xdr:rowOff>137160</xdr:rowOff>
    </xdr:from>
    <xdr:to>
      <xdr:col>13</xdr:col>
      <xdr:colOff>495300</xdr:colOff>
      <xdr:row>14</xdr:row>
      <xdr:rowOff>135255</xdr:rowOff>
    </xdr:to>
    <mc:AlternateContent xmlns:mc="http://schemas.openxmlformats.org/markup-compatibility/2006" xmlns:a14="http://schemas.microsoft.com/office/drawing/2010/main">
      <mc:Choice Requires="a14">
        <xdr:graphicFrame macro="">
          <xdr:nvGraphicFramePr>
            <xdr:cNvPr id="6" name="Category 2">
              <a:extLst>
                <a:ext uri="{FF2B5EF4-FFF2-40B4-BE49-F238E27FC236}">
                  <a16:creationId xmlns:a16="http://schemas.microsoft.com/office/drawing/2014/main" id="{F55DBE26-98D1-74FD-17D6-7C55B0828C3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332720" y="32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xdr:colOff>
      <xdr:row>1</xdr:row>
      <xdr:rowOff>114300</xdr:rowOff>
    </xdr:from>
    <xdr:to>
      <xdr:col>17</xdr:col>
      <xdr:colOff>76200</xdr:colOff>
      <xdr:row>14</xdr:row>
      <xdr:rowOff>112395</xdr:rowOff>
    </xdr:to>
    <mc:AlternateContent xmlns:mc="http://schemas.openxmlformats.org/markup-compatibility/2006" xmlns:a14="http://schemas.microsoft.com/office/drawing/2010/main">
      <mc:Choice Requires="a14">
        <xdr:graphicFrame macro="">
          <xdr:nvGraphicFramePr>
            <xdr:cNvPr id="7" name="Salesperson 2">
              <a:extLst>
                <a:ext uri="{FF2B5EF4-FFF2-40B4-BE49-F238E27FC236}">
                  <a16:creationId xmlns:a16="http://schemas.microsoft.com/office/drawing/2014/main" id="{79CF9DD9-18BB-4CCE-4844-ADC90BF2EC54}"/>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12352020" y="29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555171</xdr:colOff>
      <xdr:row>1</xdr:row>
      <xdr:rowOff>108857</xdr:rowOff>
    </xdr:from>
    <xdr:to>
      <xdr:col>32</xdr:col>
      <xdr:colOff>435429</xdr:colOff>
      <xdr:row>45</xdr:row>
      <xdr:rowOff>43542</xdr:rowOff>
    </xdr:to>
    <xdr:sp macro="" textlink="">
      <xdr:nvSpPr>
        <xdr:cNvPr id="2" name="Rectangle: Rounded Corners 1">
          <a:extLst>
            <a:ext uri="{FF2B5EF4-FFF2-40B4-BE49-F238E27FC236}">
              <a16:creationId xmlns:a16="http://schemas.microsoft.com/office/drawing/2014/main" id="{88462394-09E9-70A8-968D-46FD5A83A360}"/>
            </a:ext>
          </a:extLst>
        </xdr:cNvPr>
        <xdr:cNvSpPr/>
      </xdr:nvSpPr>
      <xdr:spPr>
        <a:xfrm>
          <a:off x="1774371" y="293914"/>
          <a:ext cx="18168258" cy="8077199"/>
        </a:xfrm>
        <a:prstGeom prst="roundRect">
          <a:avLst>
            <a:gd name="adj" fmla="val 7797"/>
          </a:avLst>
        </a:prstGeom>
        <a:solidFill>
          <a:srgbClr val="F4F6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2EC4B6"/>
            </a:solidFill>
          </a:endParaRPr>
        </a:p>
      </xdr:txBody>
    </xdr:sp>
    <xdr:clientData/>
  </xdr:twoCellAnchor>
  <xdr:twoCellAnchor>
    <xdr:from>
      <xdr:col>8</xdr:col>
      <xdr:colOff>200298</xdr:colOff>
      <xdr:row>3</xdr:row>
      <xdr:rowOff>133891</xdr:rowOff>
    </xdr:from>
    <xdr:to>
      <xdr:col>31</xdr:col>
      <xdr:colOff>544285</xdr:colOff>
      <xdr:row>9</xdr:row>
      <xdr:rowOff>123005</xdr:rowOff>
    </xdr:to>
    <xdr:sp macro="" textlink="">
      <xdr:nvSpPr>
        <xdr:cNvPr id="3" name="Rectangle: Single Corner Rounded 2" descr="Goal: Build a dashboard summarizing sales across Regions, States, and Categories.&#10;">
          <a:extLst>
            <a:ext uri="{FF2B5EF4-FFF2-40B4-BE49-F238E27FC236}">
              <a16:creationId xmlns:a16="http://schemas.microsoft.com/office/drawing/2014/main" id="{8C5A95D4-FD16-41F1-B983-BDB0F6D0792F}"/>
            </a:ext>
            <a:ext uri="{C183D7F6-B498-43B3-948B-1728B52AA6E4}">
              <adec:decorative xmlns:adec="http://schemas.microsoft.com/office/drawing/2017/decorative" val="0"/>
            </a:ext>
          </a:extLst>
        </xdr:cNvPr>
        <xdr:cNvSpPr/>
      </xdr:nvSpPr>
      <xdr:spPr>
        <a:xfrm>
          <a:off x="5077098" y="689062"/>
          <a:ext cx="14364787" cy="1099457"/>
        </a:xfrm>
        <a:prstGeom prst="round1Rect">
          <a:avLst/>
        </a:prstGeom>
        <a:solidFill>
          <a:srgbClr val="1F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222071</xdr:colOff>
      <xdr:row>4</xdr:row>
      <xdr:rowOff>101234</xdr:rowOff>
    </xdr:from>
    <xdr:to>
      <xdr:col>31</xdr:col>
      <xdr:colOff>213338</xdr:colOff>
      <xdr:row>8</xdr:row>
      <xdr:rowOff>123006</xdr:rowOff>
    </xdr:to>
    <xdr:sp macro="" textlink="">
      <xdr:nvSpPr>
        <xdr:cNvPr id="4" name="TextBox 3">
          <a:extLst>
            <a:ext uri="{FF2B5EF4-FFF2-40B4-BE49-F238E27FC236}">
              <a16:creationId xmlns:a16="http://schemas.microsoft.com/office/drawing/2014/main" id="{C9E017AC-0528-4294-9B69-48226B3D6F5A}"/>
            </a:ext>
          </a:extLst>
        </xdr:cNvPr>
        <xdr:cNvSpPr txBox="1"/>
      </xdr:nvSpPr>
      <xdr:spPr>
        <a:xfrm>
          <a:off x="5708471" y="841463"/>
          <a:ext cx="13402467" cy="762000"/>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rPr>
            <a:t>RETAIL</a:t>
          </a:r>
          <a:r>
            <a:rPr lang="en-IN" sz="3600" b="1" baseline="0">
              <a:solidFill>
                <a:schemeClr val="bg1"/>
              </a:solidFill>
            </a:rPr>
            <a:t> </a:t>
          </a:r>
          <a:r>
            <a:rPr lang="en-IN" sz="3600" b="1">
              <a:solidFill>
                <a:schemeClr val="bg1"/>
              </a:solidFill>
            </a:rPr>
            <a:t>SALES ANALYSIS </a:t>
          </a:r>
        </a:p>
      </xdr:txBody>
    </xdr:sp>
    <xdr:clientData/>
  </xdr:twoCellAnchor>
  <xdr:twoCellAnchor>
    <xdr:from>
      <xdr:col>3</xdr:col>
      <xdr:colOff>381001</xdr:colOff>
      <xdr:row>3</xdr:row>
      <xdr:rowOff>119742</xdr:rowOff>
    </xdr:from>
    <xdr:to>
      <xdr:col>7</xdr:col>
      <xdr:colOff>446315</xdr:colOff>
      <xdr:row>43</xdr:row>
      <xdr:rowOff>10885</xdr:rowOff>
    </xdr:to>
    <xdr:sp macro="" textlink="">
      <xdr:nvSpPr>
        <xdr:cNvPr id="5" name="Rectangle: Diagonal Corners Rounded 4">
          <a:extLst>
            <a:ext uri="{FF2B5EF4-FFF2-40B4-BE49-F238E27FC236}">
              <a16:creationId xmlns:a16="http://schemas.microsoft.com/office/drawing/2014/main" id="{9306CF53-5789-A7AB-741E-A198A211B10A}"/>
            </a:ext>
          </a:extLst>
        </xdr:cNvPr>
        <xdr:cNvSpPr/>
      </xdr:nvSpPr>
      <xdr:spPr>
        <a:xfrm>
          <a:off x="2209801" y="674913"/>
          <a:ext cx="2503714" cy="7293429"/>
        </a:xfrm>
        <a:prstGeom prst="round2DiagRect">
          <a:avLst/>
        </a:prstGeom>
        <a:solidFill>
          <a:srgbClr val="1F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152400</xdr:colOff>
      <xdr:row>10</xdr:row>
      <xdr:rowOff>108857</xdr:rowOff>
    </xdr:from>
    <xdr:to>
      <xdr:col>13</xdr:col>
      <xdr:colOff>381000</xdr:colOff>
      <xdr:row>19</xdr:row>
      <xdr:rowOff>185055</xdr:rowOff>
    </xdr:to>
    <xdr:sp macro="" textlink="">
      <xdr:nvSpPr>
        <xdr:cNvPr id="6" name="Rectangle: Rounded Corners 5">
          <a:extLst>
            <a:ext uri="{FF2B5EF4-FFF2-40B4-BE49-F238E27FC236}">
              <a16:creationId xmlns:a16="http://schemas.microsoft.com/office/drawing/2014/main" id="{3D771341-2148-4D00-BF57-33D9DA704A8F}"/>
            </a:ext>
          </a:extLst>
        </xdr:cNvPr>
        <xdr:cNvSpPr/>
      </xdr:nvSpPr>
      <xdr:spPr>
        <a:xfrm>
          <a:off x="5029200" y="1959428"/>
          <a:ext cx="3276600" cy="1741713"/>
        </a:xfrm>
        <a:prstGeom prst="roundRect">
          <a:avLst/>
        </a:prstGeom>
        <a:solidFill>
          <a:srgbClr val="1F3A5F"/>
        </a:solidFill>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3296"/>
            </a:solidFill>
          </a:endParaRPr>
        </a:p>
      </xdr:txBody>
    </xdr:sp>
    <xdr:clientData/>
  </xdr:twoCellAnchor>
  <xdr:twoCellAnchor>
    <xdr:from>
      <xdr:col>14</xdr:col>
      <xdr:colOff>197975</xdr:colOff>
      <xdr:row>10</xdr:row>
      <xdr:rowOff>108856</xdr:rowOff>
    </xdr:from>
    <xdr:to>
      <xdr:col>19</xdr:col>
      <xdr:colOff>423527</xdr:colOff>
      <xdr:row>19</xdr:row>
      <xdr:rowOff>185054</xdr:rowOff>
    </xdr:to>
    <xdr:sp macro="" textlink="">
      <xdr:nvSpPr>
        <xdr:cNvPr id="10" name="Rectangle: Rounded Corners 9">
          <a:extLst>
            <a:ext uri="{FF2B5EF4-FFF2-40B4-BE49-F238E27FC236}">
              <a16:creationId xmlns:a16="http://schemas.microsoft.com/office/drawing/2014/main" id="{EE6AB619-EE46-EFD7-8DF9-C28C6A141C6B}"/>
            </a:ext>
          </a:extLst>
        </xdr:cNvPr>
        <xdr:cNvSpPr/>
      </xdr:nvSpPr>
      <xdr:spPr>
        <a:xfrm>
          <a:off x="8732375" y="1959427"/>
          <a:ext cx="3273552" cy="1741713"/>
        </a:xfrm>
        <a:prstGeom prst="roundRect">
          <a:avLst/>
        </a:prstGeom>
        <a:solidFill>
          <a:srgbClr val="1F3A5F"/>
        </a:solidFill>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3296"/>
            </a:solidFill>
          </a:endParaRPr>
        </a:p>
      </xdr:txBody>
    </xdr:sp>
    <xdr:clientData/>
  </xdr:twoCellAnchor>
  <xdr:twoCellAnchor>
    <xdr:from>
      <xdr:col>20</xdr:col>
      <xdr:colOff>240502</xdr:colOff>
      <xdr:row>10</xdr:row>
      <xdr:rowOff>119742</xdr:rowOff>
    </xdr:from>
    <xdr:to>
      <xdr:col>25</xdr:col>
      <xdr:colOff>466054</xdr:colOff>
      <xdr:row>20</xdr:row>
      <xdr:rowOff>10883</xdr:rowOff>
    </xdr:to>
    <xdr:sp macro="" textlink="">
      <xdr:nvSpPr>
        <xdr:cNvPr id="11" name="Rectangle: Rounded Corners 10">
          <a:extLst>
            <a:ext uri="{FF2B5EF4-FFF2-40B4-BE49-F238E27FC236}">
              <a16:creationId xmlns:a16="http://schemas.microsoft.com/office/drawing/2014/main" id="{8D0E2FAB-1744-755C-B51A-8D150930A78D}"/>
            </a:ext>
          </a:extLst>
        </xdr:cNvPr>
        <xdr:cNvSpPr/>
      </xdr:nvSpPr>
      <xdr:spPr>
        <a:xfrm>
          <a:off x="12432502" y="1970313"/>
          <a:ext cx="3273552" cy="1741713"/>
        </a:xfrm>
        <a:prstGeom prst="roundRect">
          <a:avLst/>
        </a:prstGeom>
        <a:solidFill>
          <a:srgbClr val="1F3A5F"/>
        </a:solidFill>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3296"/>
            </a:solidFill>
          </a:endParaRPr>
        </a:p>
      </xdr:txBody>
    </xdr:sp>
    <xdr:clientData/>
  </xdr:twoCellAnchor>
  <xdr:twoCellAnchor>
    <xdr:from>
      <xdr:col>26</xdr:col>
      <xdr:colOff>283028</xdr:colOff>
      <xdr:row>10</xdr:row>
      <xdr:rowOff>108855</xdr:rowOff>
    </xdr:from>
    <xdr:to>
      <xdr:col>31</xdr:col>
      <xdr:colOff>508580</xdr:colOff>
      <xdr:row>19</xdr:row>
      <xdr:rowOff>185053</xdr:rowOff>
    </xdr:to>
    <xdr:sp macro="" textlink="">
      <xdr:nvSpPr>
        <xdr:cNvPr id="12" name="Rectangle: Rounded Corners 11">
          <a:extLst>
            <a:ext uri="{FF2B5EF4-FFF2-40B4-BE49-F238E27FC236}">
              <a16:creationId xmlns:a16="http://schemas.microsoft.com/office/drawing/2014/main" id="{E2AD54C7-25A1-4CF9-0089-AD74C4491818}"/>
            </a:ext>
          </a:extLst>
        </xdr:cNvPr>
        <xdr:cNvSpPr/>
      </xdr:nvSpPr>
      <xdr:spPr>
        <a:xfrm>
          <a:off x="16132628" y="1959426"/>
          <a:ext cx="3273552" cy="1741713"/>
        </a:xfrm>
        <a:prstGeom prst="roundRect">
          <a:avLst/>
        </a:prstGeom>
        <a:solidFill>
          <a:srgbClr val="1F3A5F"/>
        </a:solidFill>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3296"/>
            </a:solidFill>
          </a:endParaRPr>
        </a:p>
      </xdr:txBody>
    </xdr:sp>
    <xdr:clientData/>
  </xdr:twoCellAnchor>
  <xdr:twoCellAnchor>
    <xdr:from>
      <xdr:col>14</xdr:col>
      <xdr:colOff>359227</xdr:colOff>
      <xdr:row>11</xdr:row>
      <xdr:rowOff>65313</xdr:rowOff>
    </xdr:from>
    <xdr:to>
      <xdr:col>18</xdr:col>
      <xdr:colOff>21770</xdr:colOff>
      <xdr:row>14</xdr:row>
      <xdr:rowOff>21769</xdr:rowOff>
    </xdr:to>
    <xdr:sp macro="" textlink="">
      <xdr:nvSpPr>
        <xdr:cNvPr id="13" name="TextBox 12">
          <a:extLst>
            <a:ext uri="{FF2B5EF4-FFF2-40B4-BE49-F238E27FC236}">
              <a16:creationId xmlns:a16="http://schemas.microsoft.com/office/drawing/2014/main" id="{4048220B-1F0A-4308-859D-2C5F59283E47}"/>
            </a:ext>
          </a:extLst>
        </xdr:cNvPr>
        <xdr:cNvSpPr txBox="1"/>
      </xdr:nvSpPr>
      <xdr:spPr>
        <a:xfrm>
          <a:off x="8893627" y="2100942"/>
          <a:ext cx="2100943" cy="511627"/>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b="0">
              <a:solidFill>
                <a:schemeClr val="bg1"/>
              </a:solidFill>
              <a:latin typeface="+mn-lt"/>
              <a:ea typeface="+mn-ea"/>
              <a:cs typeface="+mn-cs"/>
            </a:rPr>
            <a:t>Total Orders</a:t>
          </a:r>
        </a:p>
      </xdr:txBody>
    </xdr:sp>
    <xdr:clientData/>
  </xdr:twoCellAnchor>
  <xdr:twoCellAnchor>
    <xdr:from>
      <xdr:col>14</xdr:col>
      <xdr:colOff>440874</xdr:colOff>
      <xdr:row>14</xdr:row>
      <xdr:rowOff>125180</xdr:rowOff>
    </xdr:from>
    <xdr:to>
      <xdr:col>17</xdr:col>
      <xdr:colOff>32657</xdr:colOff>
      <xdr:row>18</xdr:row>
      <xdr:rowOff>76199</xdr:rowOff>
    </xdr:to>
    <xdr:sp macro="" textlink="Pivot_3!E8">
      <xdr:nvSpPr>
        <xdr:cNvPr id="14" name="TextBox 13">
          <a:extLst>
            <a:ext uri="{FF2B5EF4-FFF2-40B4-BE49-F238E27FC236}">
              <a16:creationId xmlns:a16="http://schemas.microsoft.com/office/drawing/2014/main" id="{23F6DAD4-706F-4406-8E34-693442872D12}"/>
            </a:ext>
          </a:extLst>
        </xdr:cNvPr>
        <xdr:cNvSpPr txBox="1"/>
      </xdr:nvSpPr>
      <xdr:spPr>
        <a:xfrm>
          <a:off x="8975274" y="2715980"/>
          <a:ext cx="1420583" cy="691248"/>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4F04C27-06F9-41EE-9253-945ABAAC0139}" type="TxLink">
            <a:rPr lang="en-US" sz="4000" b="1" i="0" u="none" strike="noStrike">
              <a:solidFill>
                <a:schemeClr val="bg1"/>
              </a:solidFill>
              <a:effectLst/>
              <a:latin typeface="+mn-lt"/>
              <a:ea typeface="+mn-ea"/>
              <a:cs typeface="+mn-cs"/>
            </a:rPr>
            <a:pPr marL="0" indent="0" algn="l"/>
            <a:t>200</a:t>
          </a:fld>
          <a:endParaRPr lang="en-IN" sz="4000" b="1" i="0" u="none" strike="noStrike">
            <a:solidFill>
              <a:schemeClr val="bg1"/>
            </a:solidFill>
            <a:effectLst/>
            <a:latin typeface="+mn-lt"/>
            <a:ea typeface="+mn-ea"/>
            <a:cs typeface="+mn-cs"/>
          </a:endParaRPr>
        </a:p>
      </xdr:txBody>
    </xdr:sp>
    <xdr:clientData/>
  </xdr:twoCellAnchor>
  <xdr:twoCellAnchor editAs="oneCell">
    <xdr:from>
      <xdr:col>18</xdr:col>
      <xdr:colOff>16326</xdr:colOff>
      <xdr:row>12</xdr:row>
      <xdr:rowOff>97968</xdr:rowOff>
    </xdr:from>
    <xdr:to>
      <xdr:col>19</xdr:col>
      <xdr:colOff>321126</xdr:colOff>
      <xdr:row>18</xdr:row>
      <xdr:rowOff>154389</xdr:rowOff>
    </xdr:to>
    <xdr:pic>
      <xdr:nvPicPr>
        <xdr:cNvPr id="15" name="Graphic 14" descr="Shopping cart with solid fill">
          <a:extLst>
            <a:ext uri="{FF2B5EF4-FFF2-40B4-BE49-F238E27FC236}">
              <a16:creationId xmlns:a16="http://schemas.microsoft.com/office/drawing/2014/main" id="{C2153C2A-88E5-4F87-BDF3-4071B85BDF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989126" y="2318654"/>
          <a:ext cx="914400" cy="1166764"/>
        </a:xfrm>
        <a:prstGeom prst="rect">
          <a:avLst/>
        </a:prstGeom>
      </xdr:spPr>
    </xdr:pic>
    <xdr:clientData/>
  </xdr:twoCellAnchor>
  <xdr:twoCellAnchor>
    <xdr:from>
      <xdr:col>8</xdr:col>
      <xdr:colOff>446313</xdr:colOff>
      <xdr:row>11</xdr:row>
      <xdr:rowOff>54427</xdr:rowOff>
    </xdr:from>
    <xdr:to>
      <xdr:col>12</xdr:col>
      <xdr:colOff>108856</xdr:colOff>
      <xdr:row>14</xdr:row>
      <xdr:rowOff>10883</xdr:rowOff>
    </xdr:to>
    <xdr:sp macro="" textlink="">
      <xdr:nvSpPr>
        <xdr:cNvPr id="16" name="TextBox 15">
          <a:extLst>
            <a:ext uri="{FF2B5EF4-FFF2-40B4-BE49-F238E27FC236}">
              <a16:creationId xmlns:a16="http://schemas.microsoft.com/office/drawing/2014/main" id="{3E139E5C-857B-4A16-8435-54CF19ED972C}"/>
            </a:ext>
          </a:extLst>
        </xdr:cNvPr>
        <xdr:cNvSpPr txBox="1"/>
      </xdr:nvSpPr>
      <xdr:spPr>
        <a:xfrm>
          <a:off x="5323113" y="2090056"/>
          <a:ext cx="2100943" cy="511627"/>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b="0">
              <a:solidFill>
                <a:schemeClr val="bg1"/>
              </a:solidFill>
              <a:latin typeface="+mn-lt"/>
              <a:ea typeface="+mn-ea"/>
              <a:cs typeface="+mn-cs"/>
            </a:rPr>
            <a:t>Total Sales</a:t>
          </a:r>
        </a:p>
      </xdr:txBody>
    </xdr:sp>
    <xdr:clientData/>
  </xdr:twoCellAnchor>
  <xdr:twoCellAnchor>
    <xdr:from>
      <xdr:col>8</xdr:col>
      <xdr:colOff>277588</xdr:colOff>
      <xdr:row>14</xdr:row>
      <xdr:rowOff>97965</xdr:rowOff>
    </xdr:from>
    <xdr:to>
      <xdr:col>11</xdr:col>
      <xdr:colOff>555172</xdr:colOff>
      <xdr:row>17</xdr:row>
      <xdr:rowOff>87086</xdr:rowOff>
    </xdr:to>
    <xdr:sp macro="" textlink="Pivot_3!B8">
      <xdr:nvSpPr>
        <xdr:cNvPr id="17" name="TextBox 16">
          <a:extLst>
            <a:ext uri="{FF2B5EF4-FFF2-40B4-BE49-F238E27FC236}">
              <a16:creationId xmlns:a16="http://schemas.microsoft.com/office/drawing/2014/main" id="{7CFFA958-25E5-4520-B906-B33C01B7051D}"/>
            </a:ext>
          </a:extLst>
        </xdr:cNvPr>
        <xdr:cNvSpPr txBox="1"/>
      </xdr:nvSpPr>
      <xdr:spPr>
        <a:xfrm>
          <a:off x="5154388" y="2688765"/>
          <a:ext cx="2106384" cy="544292"/>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E13C8A4-B1F9-4C93-A114-4D8494B5EFE8}" type="TxLink">
            <a:rPr lang="en-US" sz="3600" b="1" i="0" u="none" strike="noStrike">
              <a:solidFill>
                <a:schemeClr val="bg1"/>
              </a:solidFill>
              <a:effectLst/>
              <a:latin typeface="+mn-lt"/>
              <a:ea typeface="+mn-ea"/>
              <a:cs typeface="+mn-cs"/>
            </a:rPr>
            <a:pPr marL="0" indent="0" algn="l"/>
            <a:t> ₹ 24.00M</a:t>
          </a:fld>
          <a:endParaRPr lang="en-IN" sz="3600" b="1" i="0" u="none" strike="noStrike">
            <a:solidFill>
              <a:schemeClr val="bg1"/>
            </a:solidFill>
            <a:effectLst/>
            <a:latin typeface="+mn-lt"/>
            <a:ea typeface="+mn-ea"/>
            <a:cs typeface="+mn-cs"/>
          </a:endParaRPr>
        </a:p>
      </xdr:txBody>
    </xdr:sp>
    <xdr:clientData/>
  </xdr:twoCellAnchor>
  <xdr:twoCellAnchor>
    <xdr:from>
      <xdr:col>20</xdr:col>
      <xdr:colOff>381000</xdr:colOff>
      <xdr:row>11</xdr:row>
      <xdr:rowOff>76199</xdr:rowOff>
    </xdr:from>
    <xdr:to>
      <xdr:col>25</xdr:col>
      <xdr:colOff>32658</xdr:colOff>
      <xdr:row>14</xdr:row>
      <xdr:rowOff>32655</xdr:rowOff>
    </xdr:to>
    <xdr:sp macro="" textlink="">
      <xdr:nvSpPr>
        <xdr:cNvPr id="18" name="TextBox 17">
          <a:extLst>
            <a:ext uri="{FF2B5EF4-FFF2-40B4-BE49-F238E27FC236}">
              <a16:creationId xmlns:a16="http://schemas.microsoft.com/office/drawing/2014/main" id="{CA31398E-AD7C-4775-97E4-5B1A7E8AC410}"/>
            </a:ext>
          </a:extLst>
        </xdr:cNvPr>
        <xdr:cNvSpPr txBox="1"/>
      </xdr:nvSpPr>
      <xdr:spPr>
        <a:xfrm>
          <a:off x="12573000" y="2111828"/>
          <a:ext cx="2699658" cy="511627"/>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b="0">
              <a:solidFill>
                <a:schemeClr val="bg1"/>
              </a:solidFill>
              <a:latin typeface="+mn-lt"/>
              <a:ea typeface="+mn-ea"/>
              <a:cs typeface="+mn-cs"/>
            </a:rPr>
            <a:t>AVG Order Value</a:t>
          </a:r>
        </a:p>
      </xdr:txBody>
    </xdr:sp>
    <xdr:clientData/>
  </xdr:twoCellAnchor>
  <xdr:twoCellAnchor>
    <xdr:from>
      <xdr:col>20</xdr:col>
      <xdr:colOff>321131</xdr:colOff>
      <xdr:row>14</xdr:row>
      <xdr:rowOff>108850</xdr:rowOff>
    </xdr:from>
    <xdr:to>
      <xdr:col>24</xdr:col>
      <xdr:colOff>130629</xdr:colOff>
      <xdr:row>17</xdr:row>
      <xdr:rowOff>119744</xdr:rowOff>
    </xdr:to>
    <xdr:sp macro="" textlink="Pivot_3!C8">
      <xdr:nvSpPr>
        <xdr:cNvPr id="20" name="TextBox 19">
          <a:extLst>
            <a:ext uri="{FF2B5EF4-FFF2-40B4-BE49-F238E27FC236}">
              <a16:creationId xmlns:a16="http://schemas.microsoft.com/office/drawing/2014/main" id="{DE8FB13C-0D13-48AB-BD2A-10B32267694E}"/>
            </a:ext>
          </a:extLst>
        </xdr:cNvPr>
        <xdr:cNvSpPr txBox="1"/>
      </xdr:nvSpPr>
      <xdr:spPr>
        <a:xfrm>
          <a:off x="12513131" y="2699650"/>
          <a:ext cx="2247898" cy="566065"/>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8E71033-4A56-45BA-8559-E404D49DC3E4}" type="TxLink">
            <a:rPr lang="en-US" sz="3600" b="1" i="0" u="none" strike="noStrike">
              <a:solidFill>
                <a:schemeClr val="bg1"/>
              </a:solidFill>
              <a:effectLst/>
              <a:latin typeface="+mn-lt"/>
              <a:ea typeface="+mn-ea"/>
              <a:cs typeface="+mn-cs"/>
            </a:rPr>
            <a:pPr marL="0" indent="0" algn="l"/>
            <a:t> ₹ 120.02K</a:t>
          </a:fld>
          <a:endParaRPr lang="en-IN" sz="3600" b="1" i="0" u="none" strike="noStrike">
            <a:solidFill>
              <a:schemeClr val="bg1"/>
            </a:solidFill>
            <a:effectLst/>
            <a:latin typeface="+mn-lt"/>
            <a:ea typeface="+mn-ea"/>
            <a:cs typeface="+mn-cs"/>
          </a:endParaRPr>
        </a:p>
      </xdr:txBody>
    </xdr:sp>
    <xdr:clientData/>
  </xdr:twoCellAnchor>
  <xdr:twoCellAnchor>
    <xdr:from>
      <xdr:col>26</xdr:col>
      <xdr:colOff>511630</xdr:colOff>
      <xdr:row>11</xdr:row>
      <xdr:rowOff>76198</xdr:rowOff>
    </xdr:from>
    <xdr:to>
      <xdr:col>31</xdr:col>
      <xdr:colOff>163288</xdr:colOff>
      <xdr:row>14</xdr:row>
      <xdr:rowOff>32654</xdr:rowOff>
    </xdr:to>
    <xdr:sp macro="" textlink="">
      <xdr:nvSpPr>
        <xdr:cNvPr id="21" name="TextBox 20">
          <a:extLst>
            <a:ext uri="{FF2B5EF4-FFF2-40B4-BE49-F238E27FC236}">
              <a16:creationId xmlns:a16="http://schemas.microsoft.com/office/drawing/2014/main" id="{733B7B4B-376F-43A4-8DCE-F39DD3ED9409}"/>
            </a:ext>
          </a:extLst>
        </xdr:cNvPr>
        <xdr:cNvSpPr txBox="1"/>
      </xdr:nvSpPr>
      <xdr:spPr>
        <a:xfrm>
          <a:off x="16361230" y="2111827"/>
          <a:ext cx="2699658" cy="511627"/>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b="0">
              <a:solidFill>
                <a:schemeClr val="bg1"/>
              </a:solidFill>
              <a:latin typeface="+mn-lt"/>
              <a:ea typeface="+mn-ea"/>
              <a:cs typeface="+mn-cs"/>
            </a:rPr>
            <a:t>Total</a:t>
          </a:r>
          <a:r>
            <a:rPr lang="en-IN" sz="2800" b="0" baseline="0">
              <a:solidFill>
                <a:schemeClr val="bg1"/>
              </a:solidFill>
              <a:latin typeface="+mn-lt"/>
              <a:ea typeface="+mn-ea"/>
              <a:cs typeface="+mn-cs"/>
            </a:rPr>
            <a:t> Item Sold</a:t>
          </a:r>
          <a:endParaRPr lang="en-IN" sz="2800" b="0">
            <a:solidFill>
              <a:schemeClr val="bg1"/>
            </a:solidFill>
            <a:latin typeface="+mn-lt"/>
            <a:ea typeface="+mn-ea"/>
            <a:cs typeface="+mn-cs"/>
          </a:endParaRPr>
        </a:p>
      </xdr:txBody>
    </xdr:sp>
    <xdr:clientData/>
  </xdr:twoCellAnchor>
  <xdr:twoCellAnchor>
    <xdr:from>
      <xdr:col>26</xdr:col>
      <xdr:colOff>560618</xdr:colOff>
      <xdr:row>14</xdr:row>
      <xdr:rowOff>108850</xdr:rowOff>
    </xdr:from>
    <xdr:to>
      <xdr:col>28</xdr:col>
      <xdr:colOff>522516</xdr:colOff>
      <xdr:row>17</xdr:row>
      <xdr:rowOff>119744</xdr:rowOff>
    </xdr:to>
    <xdr:sp macro="" textlink="Pivot_3!D8">
      <xdr:nvSpPr>
        <xdr:cNvPr id="22" name="TextBox 21">
          <a:extLst>
            <a:ext uri="{FF2B5EF4-FFF2-40B4-BE49-F238E27FC236}">
              <a16:creationId xmlns:a16="http://schemas.microsoft.com/office/drawing/2014/main" id="{D7175592-30FE-42C0-91EA-57A669196390}"/>
            </a:ext>
          </a:extLst>
        </xdr:cNvPr>
        <xdr:cNvSpPr txBox="1"/>
      </xdr:nvSpPr>
      <xdr:spPr>
        <a:xfrm>
          <a:off x="16410218" y="2699650"/>
          <a:ext cx="1181098" cy="566065"/>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D058849-0D1B-4209-A94D-747C9320845C}" type="TxLink">
            <a:rPr lang="en-US" sz="3600" b="1" i="0" u="none" strike="noStrike">
              <a:solidFill>
                <a:schemeClr val="bg1"/>
              </a:solidFill>
              <a:effectLst/>
              <a:latin typeface="+mn-lt"/>
              <a:ea typeface="+mn-ea"/>
              <a:cs typeface="+mn-cs"/>
            </a:rPr>
            <a:pPr marL="0" indent="0" algn="l"/>
            <a:t>1102</a:t>
          </a:fld>
          <a:endParaRPr lang="en-IN" sz="3600" b="1" i="0" u="none" strike="noStrike">
            <a:solidFill>
              <a:schemeClr val="bg1"/>
            </a:solidFill>
            <a:effectLst/>
            <a:latin typeface="+mn-lt"/>
            <a:ea typeface="+mn-ea"/>
            <a:cs typeface="+mn-cs"/>
          </a:endParaRPr>
        </a:p>
      </xdr:txBody>
    </xdr:sp>
    <xdr:clientData/>
  </xdr:twoCellAnchor>
  <xdr:twoCellAnchor>
    <xdr:from>
      <xdr:col>8</xdr:col>
      <xdr:colOff>152400</xdr:colOff>
      <xdr:row>21</xdr:row>
      <xdr:rowOff>108857</xdr:rowOff>
    </xdr:from>
    <xdr:to>
      <xdr:col>15</xdr:col>
      <xdr:colOff>500743</xdr:colOff>
      <xdr:row>42</xdr:row>
      <xdr:rowOff>10886</xdr:rowOff>
    </xdr:to>
    <xdr:sp macro="" textlink="">
      <xdr:nvSpPr>
        <xdr:cNvPr id="24" name="Rectangle: Rounded Corners 23">
          <a:extLst>
            <a:ext uri="{FF2B5EF4-FFF2-40B4-BE49-F238E27FC236}">
              <a16:creationId xmlns:a16="http://schemas.microsoft.com/office/drawing/2014/main" id="{7CB9081C-78D2-C973-90AD-4A392DB30F26}"/>
            </a:ext>
          </a:extLst>
        </xdr:cNvPr>
        <xdr:cNvSpPr/>
      </xdr:nvSpPr>
      <xdr:spPr>
        <a:xfrm>
          <a:off x="5029200" y="3995057"/>
          <a:ext cx="4615543" cy="3788229"/>
        </a:xfrm>
        <a:prstGeom prst="roundRect">
          <a:avLst/>
        </a:prstGeom>
        <a:solidFill>
          <a:srgbClr val="F4F6F8"/>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250371</xdr:colOff>
      <xdr:row>21</xdr:row>
      <xdr:rowOff>119743</xdr:rowOff>
    </xdr:from>
    <xdr:to>
      <xdr:col>23</xdr:col>
      <xdr:colOff>598714</xdr:colOff>
      <xdr:row>42</xdr:row>
      <xdr:rowOff>21772</xdr:rowOff>
    </xdr:to>
    <xdr:sp macro="" textlink="">
      <xdr:nvSpPr>
        <xdr:cNvPr id="25" name="Rectangle: Rounded Corners 24">
          <a:extLst>
            <a:ext uri="{FF2B5EF4-FFF2-40B4-BE49-F238E27FC236}">
              <a16:creationId xmlns:a16="http://schemas.microsoft.com/office/drawing/2014/main" id="{E822EA7E-6CC5-4948-3EA5-DD8A1018BEAD}"/>
            </a:ext>
          </a:extLst>
        </xdr:cNvPr>
        <xdr:cNvSpPr/>
      </xdr:nvSpPr>
      <xdr:spPr>
        <a:xfrm>
          <a:off x="10003971" y="4005943"/>
          <a:ext cx="4615543" cy="3788229"/>
        </a:xfrm>
        <a:prstGeom prst="roundRect">
          <a:avLst/>
        </a:prstGeom>
        <a:solidFill>
          <a:srgbClr val="F4F6F8"/>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272143</xdr:colOff>
      <xdr:row>21</xdr:row>
      <xdr:rowOff>119743</xdr:rowOff>
    </xdr:from>
    <xdr:to>
      <xdr:col>32</xdr:col>
      <xdr:colOff>10886</xdr:colOff>
      <xdr:row>42</xdr:row>
      <xdr:rowOff>21772</xdr:rowOff>
    </xdr:to>
    <xdr:sp macro="" textlink="">
      <xdr:nvSpPr>
        <xdr:cNvPr id="26" name="Rectangle: Rounded Corners 25">
          <a:extLst>
            <a:ext uri="{FF2B5EF4-FFF2-40B4-BE49-F238E27FC236}">
              <a16:creationId xmlns:a16="http://schemas.microsoft.com/office/drawing/2014/main" id="{0DBDD269-44BA-4128-5079-763A1235A7A5}"/>
            </a:ext>
          </a:extLst>
        </xdr:cNvPr>
        <xdr:cNvSpPr/>
      </xdr:nvSpPr>
      <xdr:spPr>
        <a:xfrm>
          <a:off x="14902543" y="4005943"/>
          <a:ext cx="4615543" cy="3788229"/>
        </a:xfrm>
        <a:prstGeom prst="roundRect">
          <a:avLst/>
        </a:prstGeom>
        <a:solidFill>
          <a:srgbClr val="F4F6F8"/>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272142</xdr:colOff>
      <xdr:row>25</xdr:row>
      <xdr:rowOff>76200</xdr:rowOff>
    </xdr:from>
    <xdr:to>
      <xdr:col>15</xdr:col>
      <xdr:colOff>402771</xdr:colOff>
      <xdr:row>39</xdr:row>
      <xdr:rowOff>54428</xdr:rowOff>
    </xdr:to>
    <xdr:graphicFrame macro="">
      <xdr:nvGraphicFramePr>
        <xdr:cNvPr id="7" name="Chart 6">
          <a:extLst>
            <a:ext uri="{FF2B5EF4-FFF2-40B4-BE49-F238E27FC236}">
              <a16:creationId xmlns:a16="http://schemas.microsoft.com/office/drawing/2014/main" id="{F41DCC94-E117-416B-AAC3-049319A2F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337456</xdr:colOff>
      <xdr:row>25</xdr:row>
      <xdr:rowOff>65314</xdr:rowOff>
    </xdr:from>
    <xdr:to>
      <xdr:col>23</xdr:col>
      <xdr:colOff>500743</xdr:colOff>
      <xdr:row>40</xdr:row>
      <xdr:rowOff>32657</xdr:rowOff>
    </xdr:to>
    <xdr:graphicFrame macro="">
      <xdr:nvGraphicFramePr>
        <xdr:cNvPr id="8" name="Chart 7">
          <a:extLst>
            <a:ext uri="{FF2B5EF4-FFF2-40B4-BE49-F238E27FC236}">
              <a16:creationId xmlns:a16="http://schemas.microsoft.com/office/drawing/2014/main" id="{72488BC5-89DB-4D7D-94C0-658503216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370114</xdr:colOff>
      <xdr:row>25</xdr:row>
      <xdr:rowOff>43543</xdr:rowOff>
    </xdr:from>
    <xdr:to>
      <xdr:col>31</xdr:col>
      <xdr:colOff>500743</xdr:colOff>
      <xdr:row>40</xdr:row>
      <xdr:rowOff>10886</xdr:rowOff>
    </xdr:to>
    <xdr:graphicFrame macro="">
      <xdr:nvGraphicFramePr>
        <xdr:cNvPr id="9" name="Chart 8">
          <a:extLst>
            <a:ext uri="{FF2B5EF4-FFF2-40B4-BE49-F238E27FC236}">
              <a16:creationId xmlns:a16="http://schemas.microsoft.com/office/drawing/2014/main" id="{151D9666-FADC-4376-BFD9-2515343B8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84365</xdr:colOff>
      <xdr:row>22</xdr:row>
      <xdr:rowOff>150221</xdr:rowOff>
    </xdr:from>
    <xdr:to>
      <xdr:col>7</xdr:col>
      <xdr:colOff>84365</xdr:colOff>
      <xdr:row>31</xdr:row>
      <xdr:rowOff>21770</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D9C910B3-1343-4799-B5C9-B6ACE2EFFEF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22765" y="4221478"/>
              <a:ext cx="1828800" cy="1537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84365</xdr:colOff>
      <xdr:row>12</xdr:row>
      <xdr:rowOff>33744</xdr:rowOff>
    </xdr:from>
    <xdr:to>
      <xdr:col>7</xdr:col>
      <xdr:colOff>84365</xdr:colOff>
      <xdr:row>20</xdr:row>
      <xdr:rowOff>97971</xdr:rowOff>
    </xdr:to>
    <mc:AlternateContent xmlns:mc="http://schemas.openxmlformats.org/markup-compatibility/2006" xmlns:a14="http://schemas.microsoft.com/office/drawing/2010/main">
      <mc:Choice Requires="a14">
        <xdr:graphicFrame macro="">
          <xdr:nvGraphicFramePr>
            <xdr:cNvPr id="23" name="Category 3">
              <a:extLst>
                <a:ext uri="{FF2B5EF4-FFF2-40B4-BE49-F238E27FC236}">
                  <a16:creationId xmlns:a16="http://schemas.microsoft.com/office/drawing/2014/main" id="{58ED34A5-DB58-4566-B83E-8C75B77A4F38}"/>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2522765" y="2254430"/>
              <a:ext cx="1828800" cy="1544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84365</xdr:colOff>
      <xdr:row>33</xdr:row>
      <xdr:rowOff>97969</xdr:rowOff>
    </xdr:from>
    <xdr:to>
      <xdr:col>7</xdr:col>
      <xdr:colOff>84365</xdr:colOff>
      <xdr:row>41</xdr:row>
      <xdr:rowOff>152399</xdr:rowOff>
    </xdr:to>
    <mc:AlternateContent xmlns:mc="http://schemas.openxmlformats.org/markup-compatibility/2006" xmlns:a14="http://schemas.microsoft.com/office/drawing/2010/main">
      <mc:Choice Requires="a14">
        <xdr:graphicFrame macro="">
          <xdr:nvGraphicFramePr>
            <xdr:cNvPr id="27" name="Salesperson 3">
              <a:extLst>
                <a:ext uri="{FF2B5EF4-FFF2-40B4-BE49-F238E27FC236}">
                  <a16:creationId xmlns:a16="http://schemas.microsoft.com/office/drawing/2014/main" id="{804EEE65-8BE2-469C-8200-2C3759783217}"/>
                </a:ext>
              </a:extLst>
            </xdr:cNvPr>
            <xdr:cNvGraphicFramePr/>
          </xdr:nvGraphicFramePr>
          <xdr:xfrm>
            <a:off x="0" y="0"/>
            <a:ext cx="0" cy="0"/>
          </xdr:xfrm>
          <a:graphic>
            <a:graphicData uri="http://schemas.microsoft.com/office/drawing/2010/slicer">
              <sle:slicer xmlns:sle="http://schemas.microsoft.com/office/drawing/2010/slicer" name="Salesperson 3"/>
            </a:graphicData>
          </a:graphic>
        </xdr:graphicFrame>
      </mc:Choice>
      <mc:Fallback xmlns="">
        <xdr:sp macro="" textlink="">
          <xdr:nvSpPr>
            <xdr:cNvPr id="0" name=""/>
            <xdr:cNvSpPr>
              <a:spLocks noTextEdit="1"/>
            </xdr:cNvSpPr>
          </xdr:nvSpPr>
          <xdr:spPr>
            <a:xfrm>
              <a:off x="2522765" y="6204855"/>
              <a:ext cx="1828800" cy="1534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152399</xdr:colOff>
      <xdr:row>22</xdr:row>
      <xdr:rowOff>21770</xdr:rowOff>
    </xdr:from>
    <xdr:to>
      <xdr:col>12</xdr:col>
      <xdr:colOff>424542</xdr:colOff>
      <xdr:row>24</xdr:row>
      <xdr:rowOff>54429</xdr:rowOff>
    </xdr:to>
    <xdr:sp macro="" textlink="">
      <xdr:nvSpPr>
        <xdr:cNvPr id="28" name="TextBox 27">
          <a:extLst>
            <a:ext uri="{FF2B5EF4-FFF2-40B4-BE49-F238E27FC236}">
              <a16:creationId xmlns:a16="http://schemas.microsoft.com/office/drawing/2014/main" id="{BCB6A2A5-FED1-4A8E-92F6-35B9F9883E69}"/>
            </a:ext>
          </a:extLst>
        </xdr:cNvPr>
        <xdr:cNvSpPr txBox="1"/>
      </xdr:nvSpPr>
      <xdr:spPr>
        <a:xfrm>
          <a:off x="5638799" y="4093027"/>
          <a:ext cx="2100943"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dk1"/>
              </a:solidFill>
              <a:effectLst/>
              <a:latin typeface="+mn-lt"/>
              <a:ea typeface="+mn-ea"/>
              <a:cs typeface="+mn-cs"/>
            </a:rPr>
            <a:t>Sales Trend</a:t>
          </a:r>
          <a:r>
            <a:rPr lang="en-IN" sz="2000" b="1">
              <a:effectLst/>
            </a:rPr>
            <a:t> </a:t>
          </a:r>
          <a:endParaRPr lang="en-IN" sz="2000" b="1">
            <a:solidFill>
              <a:schemeClr val="tx1"/>
            </a:solidFill>
            <a:latin typeface="+mn-lt"/>
            <a:ea typeface="+mn-ea"/>
            <a:cs typeface="+mn-cs"/>
          </a:endParaRPr>
        </a:p>
      </xdr:txBody>
    </xdr:sp>
    <xdr:clientData/>
  </xdr:twoCellAnchor>
  <xdr:twoCellAnchor>
    <xdr:from>
      <xdr:col>17</xdr:col>
      <xdr:colOff>272142</xdr:colOff>
      <xdr:row>22</xdr:row>
      <xdr:rowOff>76199</xdr:rowOff>
    </xdr:from>
    <xdr:to>
      <xdr:col>20</xdr:col>
      <xdr:colOff>544285</xdr:colOff>
      <xdr:row>24</xdr:row>
      <xdr:rowOff>108858</xdr:rowOff>
    </xdr:to>
    <xdr:sp macro="" textlink="">
      <xdr:nvSpPr>
        <xdr:cNvPr id="29" name="TextBox 28">
          <a:extLst>
            <a:ext uri="{FF2B5EF4-FFF2-40B4-BE49-F238E27FC236}">
              <a16:creationId xmlns:a16="http://schemas.microsoft.com/office/drawing/2014/main" id="{7E985818-645D-4229-9117-EEA54DF37537}"/>
            </a:ext>
          </a:extLst>
        </xdr:cNvPr>
        <xdr:cNvSpPr txBox="1"/>
      </xdr:nvSpPr>
      <xdr:spPr>
        <a:xfrm>
          <a:off x="10635342" y="4147456"/>
          <a:ext cx="2100943"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dk1"/>
              </a:solidFill>
              <a:effectLst/>
              <a:latin typeface="+mn-lt"/>
              <a:ea typeface="+mn-ea"/>
              <a:cs typeface="+mn-cs"/>
            </a:rPr>
            <a:t>Sales by Category </a:t>
          </a:r>
        </a:p>
      </xdr:txBody>
    </xdr:sp>
    <xdr:clientData/>
  </xdr:twoCellAnchor>
  <xdr:twoCellAnchor>
    <xdr:from>
      <xdr:col>25</xdr:col>
      <xdr:colOff>185056</xdr:colOff>
      <xdr:row>22</xdr:row>
      <xdr:rowOff>108856</xdr:rowOff>
    </xdr:from>
    <xdr:to>
      <xdr:col>28</xdr:col>
      <xdr:colOff>457199</xdr:colOff>
      <xdr:row>24</xdr:row>
      <xdr:rowOff>141515</xdr:rowOff>
    </xdr:to>
    <xdr:sp macro="" textlink="">
      <xdr:nvSpPr>
        <xdr:cNvPr id="30" name="TextBox 29">
          <a:extLst>
            <a:ext uri="{FF2B5EF4-FFF2-40B4-BE49-F238E27FC236}">
              <a16:creationId xmlns:a16="http://schemas.microsoft.com/office/drawing/2014/main" id="{257F42FD-DBEE-485F-919F-F366D16D1F7B}"/>
            </a:ext>
          </a:extLst>
        </xdr:cNvPr>
        <xdr:cNvSpPr txBox="1"/>
      </xdr:nvSpPr>
      <xdr:spPr>
        <a:xfrm>
          <a:off x="15425056" y="4180113"/>
          <a:ext cx="2100943"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dk1"/>
              </a:solidFill>
              <a:effectLst/>
              <a:latin typeface="+mn-lt"/>
              <a:ea typeface="+mn-ea"/>
              <a:cs typeface="+mn-cs"/>
            </a:rPr>
            <a:t>Sales by Region </a:t>
          </a:r>
        </a:p>
      </xdr:txBody>
    </xdr:sp>
    <xdr:clientData/>
  </xdr:twoCellAnchor>
  <xdr:twoCellAnchor>
    <xdr:from>
      <xdr:col>3</xdr:col>
      <xdr:colOff>576942</xdr:colOff>
      <xdr:row>5</xdr:row>
      <xdr:rowOff>119743</xdr:rowOff>
    </xdr:from>
    <xdr:to>
      <xdr:col>7</xdr:col>
      <xdr:colOff>239485</xdr:colOff>
      <xdr:row>8</xdr:row>
      <xdr:rowOff>76199</xdr:rowOff>
    </xdr:to>
    <xdr:sp macro="" textlink="">
      <xdr:nvSpPr>
        <xdr:cNvPr id="31" name="TextBox 30">
          <a:extLst>
            <a:ext uri="{FF2B5EF4-FFF2-40B4-BE49-F238E27FC236}">
              <a16:creationId xmlns:a16="http://schemas.microsoft.com/office/drawing/2014/main" id="{016D0FED-D497-4706-A11C-7E238D5E595D}"/>
            </a:ext>
          </a:extLst>
        </xdr:cNvPr>
        <xdr:cNvSpPr txBox="1"/>
      </xdr:nvSpPr>
      <xdr:spPr>
        <a:xfrm>
          <a:off x="2405742" y="1045029"/>
          <a:ext cx="2100943" cy="511627"/>
        </a:xfrm>
        <a:prstGeom prst="rect">
          <a:avLst/>
        </a:prstGeom>
        <a:solidFill>
          <a:srgbClr val="1F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600" b="0">
              <a:solidFill>
                <a:schemeClr val="bg1"/>
              </a:solidFill>
              <a:latin typeface="+mn-lt"/>
              <a:ea typeface="+mn-ea"/>
              <a:cs typeface="+mn-cs"/>
            </a:rPr>
            <a:t>Filters</a:t>
          </a:r>
        </a:p>
      </xdr:txBody>
    </xdr:sp>
    <xdr:clientData/>
  </xdr:twoCellAnchor>
  <xdr:twoCellAnchor editAs="oneCell">
    <xdr:from>
      <xdr:col>6</xdr:col>
      <xdr:colOff>65315</xdr:colOff>
      <xdr:row>5</xdr:row>
      <xdr:rowOff>54428</xdr:rowOff>
    </xdr:from>
    <xdr:to>
      <xdr:col>7</xdr:col>
      <xdr:colOff>370115</xdr:colOff>
      <xdr:row>10</xdr:row>
      <xdr:rowOff>43543</xdr:rowOff>
    </xdr:to>
    <xdr:pic>
      <xdr:nvPicPr>
        <xdr:cNvPr id="33" name="Graphic 32" descr="Research with solid fill">
          <a:extLst>
            <a:ext uri="{FF2B5EF4-FFF2-40B4-BE49-F238E27FC236}">
              <a16:creationId xmlns:a16="http://schemas.microsoft.com/office/drawing/2014/main" id="{72141673-F4D5-1A7D-198E-5D8EB5F990F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22915" y="979714"/>
          <a:ext cx="914400" cy="914400"/>
        </a:xfrm>
        <a:prstGeom prst="rect">
          <a:avLst/>
        </a:prstGeom>
      </xdr:spPr>
    </xdr:pic>
    <xdr:clientData/>
  </xdr:twoCellAnchor>
  <xdr:twoCellAnchor editAs="oneCell">
    <xdr:from>
      <xdr:col>11</xdr:col>
      <xdr:colOff>587829</xdr:colOff>
      <xdr:row>13</xdr:row>
      <xdr:rowOff>21772</xdr:rowOff>
    </xdr:from>
    <xdr:to>
      <xdr:col>13</xdr:col>
      <xdr:colOff>283029</xdr:colOff>
      <xdr:row>18</xdr:row>
      <xdr:rowOff>10886</xdr:rowOff>
    </xdr:to>
    <xdr:pic>
      <xdr:nvPicPr>
        <xdr:cNvPr id="35" name="Graphic 34" descr="Coins with solid fill">
          <a:extLst>
            <a:ext uri="{FF2B5EF4-FFF2-40B4-BE49-F238E27FC236}">
              <a16:creationId xmlns:a16="http://schemas.microsoft.com/office/drawing/2014/main" id="{C14F301C-4A10-1F6D-3B7A-080CA7007E5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293429" y="2427515"/>
          <a:ext cx="914400" cy="914400"/>
        </a:xfrm>
        <a:prstGeom prst="rect">
          <a:avLst/>
        </a:prstGeom>
      </xdr:spPr>
    </xdr:pic>
    <xdr:clientData/>
  </xdr:twoCellAnchor>
  <xdr:twoCellAnchor editAs="oneCell">
    <xdr:from>
      <xdr:col>24</xdr:col>
      <xdr:colOff>87085</xdr:colOff>
      <xdr:row>13</xdr:row>
      <xdr:rowOff>174171</xdr:rowOff>
    </xdr:from>
    <xdr:to>
      <xdr:col>25</xdr:col>
      <xdr:colOff>391885</xdr:colOff>
      <xdr:row>18</xdr:row>
      <xdr:rowOff>163285</xdr:rowOff>
    </xdr:to>
    <xdr:pic>
      <xdr:nvPicPr>
        <xdr:cNvPr id="37" name="Graphic 36" descr="Bar chart with solid fill">
          <a:extLst>
            <a:ext uri="{FF2B5EF4-FFF2-40B4-BE49-F238E27FC236}">
              <a16:creationId xmlns:a16="http://schemas.microsoft.com/office/drawing/2014/main" id="{CC47B50B-0C23-0F06-D448-0C60D467D68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717485" y="2579914"/>
          <a:ext cx="914400" cy="914400"/>
        </a:xfrm>
        <a:prstGeom prst="rect">
          <a:avLst/>
        </a:prstGeom>
      </xdr:spPr>
    </xdr:pic>
    <xdr:clientData/>
  </xdr:twoCellAnchor>
  <xdr:twoCellAnchor editAs="oneCell">
    <xdr:from>
      <xdr:col>30</xdr:col>
      <xdr:colOff>87085</xdr:colOff>
      <xdr:row>13</xdr:row>
      <xdr:rowOff>119743</xdr:rowOff>
    </xdr:from>
    <xdr:to>
      <xdr:col>31</xdr:col>
      <xdr:colOff>391885</xdr:colOff>
      <xdr:row>18</xdr:row>
      <xdr:rowOff>108857</xdr:rowOff>
    </xdr:to>
    <xdr:pic>
      <xdr:nvPicPr>
        <xdr:cNvPr id="41" name="Graphic 40" descr="Checklist with solid fill">
          <a:extLst>
            <a:ext uri="{FF2B5EF4-FFF2-40B4-BE49-F238E27FC236}">
              <a16:creationId xmlns:a16="http://schemas.microsoft.com/office/drawing/2014/main" id="{22DC1D08-DFD4-8779-CFF9-E12ED3210CC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375085" y="2525486"/>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4.920700578703" createdVersion="8" refreshedVersion="8" minRefreshableVersion="3" recordCount="200" xr:uid="{477CAAA9-A91F-42C8-A426-E92DB15FFE42}">
  <cacheSource type="worksheet">
    <worksheetSource ref="A1:P201" sheet="RetailSales"/>
  </cacheSource>
  <cacheFields count="16">
    <cacheField name="OrderID" numFmtId="0">
      <sharedItems containsSemiMixedTypes="0" containsString="0" containsNumber="1" containsInteger="1" minValue="1001" maxValue="1200"/>
    </cacheField>
    <cacheField name="Date" numFmtId="14">
      <sharedItems/>
    </cacheField>
    <cacheField name="Region" numFmtId="0">
      <sharedItems count="4">
        <s v="East"/>
        <s v="North"/>
        <s v="South"/>
        <s v="West"/>
      </sharedItems>
    </cacheField>
    <cacheField name="State" numFmtId="0">
      <sharedItems/>
    </cacheField>
    <cacheField name="Category" numFmtId="0">
      <sharedItems count="4">
        <s v="Electronics"/>
        <s v="Furniture"/>
        <s v="Grocery"/>
        <s v="Clothing"/>
      </sharedItems>
    </cacheField>
    <cacheField name="Sub-Category" numFmtId="0">
      <sharedItems/>
    </cacheField>
    <cacheField name="Product" numFmtId="0">
      <sharedItems/>
    </cacheField>
    <cacheField name="Quantity" numFmtId="1">
      <sharedItems containsSemiMixedTypes="0" containsString="0" containsNumber="1" containsInteger="1" minValue="1" maxValue="10"/>
    </cacheField>
    <cacheField name="Unit Price" numFmtId="164">
      <sharedItems containsSemiMixedTypes="0" containsString="0" containsNumber="1" containsInteger="1" minValue="257" maxValue="49922"/>
    </cacheField>
    <cacheField name="Discount" numFmtId="2">
      <sharedItems containsSemiMixedTypes="0" containsString="0" containsNumber="1" minValue="0" maxValue="0.2"/>
    </cacheField>
    <cacheField name="Customer Type" numFmtId="0">
      <sharedItems/>
    </cacheField>
    <cacheField name="Salesperson" numFmtId="0">
      <sharedItems count="8">
        <s v="John"/>
        <s v="Amit"/>
        <s v="Ramesh"/>
        <s v="Priya"/>
        <s v="Aisha"/>
        <s v="Vikram"/>
        <s v="Sneha"/>
        <s v="Nisha"/>
      </sharedItems>
    </cacheField>
    <cacheField name="Sales" numFmtId="164">
      <sharedItems containsSemiMixedTypes="0" containsString="0" containsNumber="1" containsInteger="1" minValue="257" maxValue="492920"/>
    </cacheField>
    <cacheField name="Discount_amount" numFmtId="164">
      <sharedItems containsSemiMixedTypes="0" containsString="0" containsNumber="1" minValue="0" maxValue="67641.52"/>
    </cacheField>
    <cacheField name="Sale_After_Discount" numFmtId="164">
      <sharedItems containsSemiMixedTypes="0" containsString="0" containsNumber="1" minValue="223.59" maxValue="463344.8"/>
    </cacheField>
    <cacheField name="MONTH" numFmtId="0">
      <sharedItems containsSemiMixedTypes="0" containsString="0" containsNumber="1" containsInteger="1" minValue="1" maxValue="12" count="12">
        <n v="4"/>
        <n v="6"/>
        <n v="12"/>
        <n v="8"/>
        <n v="7"/>
        <n v="1"/>
        <n v="2"/>
        <n v="9"/>
        <n v="3"/>
        <n v="5"/>
        <n v="11"/>
        <n v="10"/>
      </sharedItems>
    </cacheField>
  </cacheFields>
  <extLst>
    <ext xmlns:x14="http://schemas.microsoft.com/office/spreadsheetml/2009/9/main" uri="{725AE2AE-9491-48be-B2B4-4EB974FC3084}">
      <x14:pivotCacheDefinition pivotCacheId="19029859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4.920782870373" createdVersion="8" refreshedVersion="8" minRefreshableVersion="3" recordCount="200" xr:uid="{5A5630E3-0BC0-434D-9AD6-DAF008E07C27}">
  <cacheSource type="worksheet">
    <worksheetSource ref="A1:O201" sheet="RetailSales"/>
  </cacheSource>
  <cacheFields count="15">
    <cacheField name="OrderID" numFmtId="0">
      <sharedItems containsSemiMixedTypes="0" containsString="0" containsNumber="1" containsInteger="1" minValue="1001" maxValue="1200" count="2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sharedItems>
    </cacheField>
    <cacheField name="Date" numFmtId="14">
      <sharedItems/>
    </cacheField>
    <cacheField name="Region" numFmtId="0">
      <sharedItems count="4">
        <s v="East"/>
        <s v="North"/>
        <s v="South"/>
        <s v="West"/>
      </sharedItems>
    </cacheField>
    <cacheField name="State" numFmtId="0">
      <sharedItems count="16">
        <s v="Bihar"/>
        <s v="Delhi"/>
        <s v="Tamil Nadu"/>
        <s v="Kerala"/>
        <s v="Telangana"/>
        <s v="Karnataka"/>
        <s v="Haryana"/>
        <s v="Goa"/>
        <s v="Rajasthan"/>
        <s v="Gujarat"/>
        <s v="Punjab"/>
        <s v="West Bengal"/>
        <s v="Assam"/>
        <s v="Maharashtra"/>
        <s v="UP"/>
        <s v="Odisha"/>
      </sharedItems>
    </cacheField>
    <cacheField name="Category" numFmtId="0">
      <sharedItems count="4">
        <s v="Electronics"/>
        <s v="Furniture"/>
        <s v="Grocery"/>
        <s v="Clothing"/>
      </sharedItems>
    </cacheField>
    <cacheField name="Sub-Category" numFmtId="0">
      <sharedItems/>
    </cacheField>
    <cacheField name="Product" numFmtId="0">
      <sharedItems/>
    </cacheField>
    <cacheField name="Quantity" numFmtId="1">
      <sharedItems containsSemiMixedTypes="0" containsString="0" containsNumber="1" containsInteger="1" minValue="1" maxValue="10"/>
    </cacheField>
    <cacheField name="Unit Price" numFmtId="164">
      <sharedItems containsSemiMixedTypes="0" containsString="0" containsNumber="1" containsInteger="1" minValue="257" maxValue="49922"/>
    </cacheField>
    <cacheField name="Discount" numFmtId="2">
      <sharedItems containsSemiMixedTypes="0" containsString="0" containsNumber="1" minValue="0" maxValue="0.2"/>
    </cacheField>
    <cacheField name="Customer Type" numFmtId="0">
      <sharedItems count="2">
        <s v="B2C"/>
        <s v="B2B"/>
      </sharedItems>
    </cacheField>
    <cacheField name="Salesperson" numFmtId="0">
      <sharedItems count="8">
        <s v="John"/>
        <s v="Amit"/>
        <s v="Ramesh"/>
        <s v="Priya"/>
        <s v="Aisha"/>
        <s v="Vikram"/>
        <s v="Sneha"/>
        <s v="Nisha"/>
      </sharedItems>
    </cacheField>
    <cacheField name="Sales" numFmtId="164">
      <sharedItems containsSemiMixedTypes="0" containsString="0" containsNumber="1" containsInteger="1" minValue="257" maxValue="492920"/>
    </cacheField>
    <cacheField name="Discount_amount" numFmtId="164">
      <sharedItems containsSemiMixedTypes="0" containsString="0" containsNumber="1" minValue="0" maxValue="67641.52"/>
    </cacheField>
    <cacheField name="Sale_After_Discount" numFmtId="164">
      <sharedItems containsSemiMixedTypes="0" containsString="0" containsNumber="1" minValue="223.59" maxValue="463344.8"/>
    </cacheField>
  </cacheFields>
  <extLst>
    <ext xmlns:x14="http://schemas.microsoft.com/office/spreadsheetml/2009/9/main" uri="{725AE2AE-9491-48be-B2B4-4EB974FC3084}">
      <x14:pivotCacheDefinition pivotCacheId="1845219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1"/>
    <s v="2023-04-09"/>
    <x v="0"/>
    <s v="Bihar"/>
    <x v="0"/>
    <s v="Monitor"/>
    <s v="LG UltraWide"/>
    <n v="9"/>
    <n v="32905"/>
    <n v="7.0000000000000007E-2"/>
    <s v="B2C"/>
    <x v="0"/>
    <n v="296145"/>
    <n v="20730.150000000001"/>
    <n v="275414.84999999998"/>
    <x v="0"/>
  </r>
  <r>
    <n v="1002"/>
    <s v="2023-06-02"/>
    <x v="1"/>
    <s v="Delhi"/>
    <x v="1"/>
    <s v="Chair"/>
    <s v="Ergo Chair"/>
    <n v="9"/>
    <n v="40330"/>
    <n v="0.04"/>
    <s v="B2C"/>
    <x v="1"/>
    <n v="362970"/>
    <n v="14518.800000000001"/>
    <n v="348451.2"/>
    <x v="1"/>
  </r>
  <r>
    <n v="1003"/>
    <s v="2023-12-05"/>
    <x v="2"/>
    <s v="Tamil Nadu"/>
    <x v="2"/>
    <s v="Milk"/>
    <s v="Toned Milk"/>
    <n v="2"/>
    <n v="46305"/>
    <n v="0.1"/>
    <s v="B2B"/>
    <x v="2"/>
    <n v="92610"/>
    <n v="9261"/>
    <n v="83349"/>
    <x v="2"/>
  </r>
  <r>
    <n v="1004"/>
    <s v="2023-08-06"/>
    <x v="2"/>
    <s v="Kerala"/>
    <x v="1"/>
    <s v="Shelf"/>
    <s v="Wall Shelf"/>
    <n v="8"/>
    <n v="32683"/>
    <n v="0.03"/>
    <s v="B2C"/>
    <x v="3"/>
    <n v="261464"/>
    <n v="7843.92"/>
    <n v="253620.08"/>
    <x v="3"/>
  </r>
  <r>
    <n v="1005"/>
    <s v="2023-08-22"/>
    <x v="1"/>
    <s v="Delhi"/>
    <x v="3"/>
    <s v="T-Shirt"/>
    <s v="Cotton Tee"/>
    <n v="8"/>
    <n v="30507"/>
    <n v="0.18"/>
    <s v="B2B"/>
    <x v="4"/>
    <n v="244056"/>
    <n v="43930.080000000002"/>
    <n v="200125.91999999998"/>
    <x v="3"/>
  </r>
  <r>
    <n v="1006"/>
    <s v="2023-08-01"/>
    <x v="2"/>
    <s v="Telangana"/>
    <x v="3"/>
    <s v="Jacket"/>
    <s v="Leather Jacket"/>
    <n v="6"/>
    <n v="23778"/>
    <n v="0.2"/>
    <s v="B2C"/>
    <x v="4"/>
    <n v="142668"/>
    <n v="28533.600000000002"/>
    <n v="114134.39999999999"/>
    <x v="3"/>
  </r>
  <r>
    <n v="1007"/>
    <s v="2023-07-13"/>
    <x v="2"/>
    <s v="Kerala"/>
    <x v="0"/>
    <s v="Laptop"/>
    <s v="Acer Aspire 5"/>
    <n v="4"/>
    <n v="20486"/>
    <n v="0"/>
    <s v="B2B"/>
    <x v="2"/>
    <n v="81944"/>
    <n v="0"/>
    <n v="81944"/>
    <x v="4"/>
  </r>
  <r>
    <n v="1008"/>
    <s v="2023-12-27"/>
    <x v="0"/>
    <s v="Bihar"/>
    <x v="0"/>
    <s v="Monitor"/>
    <s v="Dell 24-inch"/>
    <n v="8"/>
    <n v="2388"/>
    <n v="0.11"/>
    <s v="B2B"/>
    <x v="3"/>
    <n v="19104"/>
    <n v="2101.44"/>
    <n v="17002.560000000001"/>
    <x v="2"/>
  </r>
  <r>
    <n v="1009"/>
    <s v="2023-06-10"/>
    <x v="2"/>
    <s v="Kerala"/>
    <x v="2"/>
    <s v="Rice"/>
    <s v="Brown Rice"/>
    <n v="3"/>
    <n v="25286"/>
    <n v="0.04"/>
    <s v="B2B"/>
    <x v="3"/>
    <n v="75858"/>
    <n v="3034.32"/>
    <n v="72823.679999999993"/>
    <x v="1"/>
  </r>
  <r>
    <n v="1010"/>
    <s v="2023-01-07"/>
    <x v="2"/>
    <s v="Karnataka"/>
    <x v="3"/>
    <s v="T-Shirt"/>
    <s v="Cotton Tee"/>
    <n v="1"/>
    <n v="45849"/>
    <n v="0.11"/>
    <s v="B2B"/>
    <x v="2"/>
    <n v="45849"/>
    <n v="5043.3900000000003"/>
    <n v="40805.61"/>
    <x v="5"/>
  </r>
  <r>
    <n v="1011"/>
    <s v="2023-02-19"/>
    <x v="1"/>
    <s v="Haryana"/>
    <x v="2"/>
    <s v="Snacks"/>
    <s v="Nachos"/>
    <n v="7"/>
    <n v="29584"/>
    <n v="0.02"/>
    <s v="B2C"/>
    <x v="5"/>
    <n v="207088"/>
    <n v="4141.76"/>
    <n v="202946.24"/>
    <x v="6"/>
  </r>
  <r>
    <n v="1012"/>
    <s v="2023-12-10"/>
    <x v="2"/>
    <s v="Karnataka"/>
    <x v="2"/>
    <s v="Snacks"/>
    <s v="Nachos"/>
    <n v="9"/>
    <n v="1513"/>
    <n v="0.18"/>
    <s v="B2C"/>
    <x v="0"/>
    <n v="13617"/>
    <n v="2451.06"/>
    <n v="11165.94"/>
    <x v="2"/>
  </r>
  <r>
    <n v="1013"/>
    <s v="2023-06-09"/>
    <x v="1"/>
    <s v="Haryana"/>
    <x v="2"/>
    <s v="Oil"/>
    <s v="Mustard Oil"/>
    <n v="3"/>
    <n v="34587"/>
    <n v="0.11"/>
    <s v="B2B"/>
    <x v="4"/>
    <n v="103761"/>
    <n v="11413.710000000001"/>
    <n v="92347.29"/>
    <x v="1"/>
  </r>
  <r>
    <n v="1014"/>
    <s v="2023-04-22"/>
    <x v="3"/>
    <s v="Goa"/>
    <x v="2"/>
    <s v="Snacks"/>
    <s v="Nachos"/>
    <n v="2"/>
    <n v="32834"/>
    <n v="0.03"/>
    <s v="B2B"/>
    <x v="1"/>
    <n v="65668"/>
    <n v="1970.04"/>
    <n v="63697.96"/>
    <x v="0"/>
  </r>
  <r>
    <n v="1015"/>
    <s v="2023-07-19"/>
    <x v="3"/>
    <s v="Rajasthan"/>
    <x v="0"/>
    <s v="Monitor"/>
    <s v="Dell 24-inch"/>
    <n v="1"/>
    <n v="26572"/>
    <n v="0.02"/>
    <s v="B2C"/>
    <x v="6"/>
    <n v="26572"/>
    <n v="531.44000000000005"/>
    <n v="26040.560000000001"/>
    <x v="4"/>
  </r>
  <r>
    <n v="1016"/>
    <s v="2023-07-09"/>
    <x v="3"/>
    <s v="Gujarat"/>
    <x v="3"/>
    <s v="Shirt"/>
    <s v="Linen Shirt"/>
    <n v="8"/>
    <n v="19749"/>
    <n v="0.12"/>
    <s v="B2B"/>
    <x v="5"/>
    <n v="157992"/>
    <n v="18959.04"/>
    <n v="139032.95999999999"/>
    <x v="4"/>
  </r>
  <r>
    <n v="1017"/>
    <s v="2023-07-26"/>
    <x v="2"/>
    <s v="Telangana"/>
    <x v="2"/>
    <s v="Snacks"/>
    <s v="Nachos"/>
    <n v="7"/>
    <n v="3906"/>
    <n v="0.12"/>
    <s v="B2B"/>
    <x v="5"/>
    <n v="27342"/>
    <n v="3281.04"/>
    <n v="24060.959999999999"/>
    <x v="4"/>
  </r>
  <r>
    <n v="1018"/>
    <s v="2023-09-22"/>
    <x v="1"/>
    <s v="Punjab"/>
    <x v="2"/>
    <s v="Rice"/>
    <s v="Brown Rice"/>
    <n v="9"/>
    <n v="45609"/>
    <n v="0.04"/>
    <s v="B2C"/>
    <x v="4"/>
    <n v="410481"/>
    <n v="16419.240000000002"/>
    <n v="394061.76"/>
    <x v="7"/>
  </r>
  <r>
    <n v="1019"/>
    <s v="2023-09-30"/>
    <x v="0"/>
    <s v="West Bengal"/>
    <x v="1"/>
    <s v="Shelf"/>
    <s v="Metal Shelf"/>
    <n v="10"/>
    <n v="4005"/>
    <n v="0.16"/>
    <s v="B2B"/>
    <x v="1"/>
    <n v="40050"/>
    <n v="6408"/>
    <n v="33642"/>
    <x v="7"/>
  </r>
  <r>
    <n v="1020"/>
    <s v="2023-04-07"/>
    <x v="3"/>
    <s v="Rajasthan"/>
    <x v="0"/>
    <s v="Headphones"/>
    <s v="JBL Tune"/>
    <n v="1"/>
    <n v="12018"/>
    <n v="0.19"/>
    <s v="B2B"/>
    <x v="6"/>
    <n v="12018"/>
    <n v="2283.42"/>
    <n v="9734.58"/>
    <x v="0"/>
  </r>
  <r>
    <n v="1021"/>
    <s v="2023-03-16"/>
    <x v="2"/>
    <s v="Kerala"/>
    <x v="2"/>
    <s v="Milk"/>
    <s v="Full Cream Milk"/>
    <n v="2"/>
    <n v="31751"/>
    <n v="7.0000000000000007E-2"/>
    <s v="B2B"/>
    <x v="1"/>
    <n v="63502"/>
    <n v="4445.1400000000003"/>
    <n v="59056.86"/>
    <x v="8"/>
  </r>
  <r>
    <n v="1022"/>
    <s v="2023-08-16"/>
    <x v="2"/>
    <s v="Telangana"/>
    <x v="3"/>
    <s v="T-Shirt"/>
    <s v="Graphic Tee"/>
    <n v="10"/>
    <n v="4062"/>
    <n v="0.12"/>
    <s v="B2C"/>
    <x v="1"/>
    <n v="40620"/>
    <n v="4874.3999999999996"/>
    <n v="35745.599999999999"/>
    <x v="3"/>
  </r>
  <r>
    <n v="1023"/>
    <s v="2023-02-11"/>
    <x v="2"/>
    <s v="Karnataka"/>
    <x v="0"/>
    <s v="Monitor"/>
    <s v="LG UltraWide"/>
    <n v="7"/>
    <n v="22038"/>
    <n v="0.04"/>
    <s v="B2B"/>
    <x v="3"/>
    <n v="154266"/>
    <n v="6170.64"/>
    <n v="148095.35999999999"/>
    <x v="6"/>
  </r>
  <r>
    <n v="1024"/>
    <s v="2023-08-25"/>
    <x v="0"/>
    <s v="Assam"/>
    <x v="1"/>
    <s v="Chair"/>
    <s v="Office Chair Pro"/>
    <n v="9"/>
    <n v="9591"/>
    <n v="7.0000000000000007E-2"/>
    <s v="B2B"/>
    <x v="0"/>
    <n v="86319"/>
    <n v="6042.3300000000008"/>
    <n v="80276.67"/>
    <x v="3"/>
  </r>
  <r>
    <n v="1025"/>
    <s v="2023-05-17"/>
    <x v="3"/>
    <s v="Goa"/>
    <x v="2"/>
    <s v="Rice"/>
    <s v="Brown Rice"/>
    <n v="2"/>
    <n v="22073"/>
    <n v="0.06"/>
    <s v="B2B"/>
    <x v="0"/>
    <n v="44146"/>
    <n v="2648.7599999999998"/>
    <n v="41497.24"/>
    <x v="9"/>
  </r>
  <r>
    <n v="1026"/>
    <s v="2023-12-23"/>
    <x v="3"/>
    <s v="Rajasthan"/>
    <x v="1"/>
    <s v="Shelf"/>
    <s v="Metal Shelf"/>
    <n v="1"/>
    <n v="16541"/>
    <n v="0.14000000000000001"/>
    <s v="B2B"/>
    <x v="6"/>
    <n v="16541"/>
    <n v="2315.7400000000002"/>
    <n v="14225.26"/>
    <x v="2"/>
  </r>
  <r>
    <n v="1027"/>
    <s v="2023-11-10"/>
    <x v="2"/>
    <s v="Telangana"/>
    <x v="1"/>
    <s v="Chair"/>
    <s v="Wooden Chair"/>
    <n v="1"/>
    <n v="257"/>
    <n v="0.13"/>
    <s v="B2C"/>
    <x v="3"/>
    <n v="257"/>
    <n v="33.410000000000004"/>
    <n v="223.59"/>
    <x v="10"/>
  </r>
  <r>
    <n v="1028"/>
    <s v="2023-04-12"/>
    <x v="0"/>
    <s v="Bihar"/>
    <x v="0"/>
    <s v="Mobile"/>
    <s v="iPhone 13"/>
    <n v="7"/>
    <n v="38762"/>
    <n v="0.2"/>
    <s v="B2B"/>
    <x v="4"/>
    <n v="271334"/>
    <n v="54266.8"/>
    <n v="217067.2"/>
    <x v="0"/>
  </r>
  <r>
    <n v="1029"/>
    <s v="2023-09-07"/>
    <x v="3"/>
    <s v="Rajasthan"/>
    <x v="3"/>
    <s v="T-Shirt"/>
    <s v="Cotton Tee"/>
    <n v="10"/>
    <n v="4695"/>
    <n v="0.05"/>
    <s v="B2B"/>
    <x v="7"/>
    <n v="46950"/>
    <n v="2347.5"/>
    <n v="44602.5"/>
    <x v="7"/>
  </r>
  <r>
    <n v="1030"/>
    <s v="2023-03-14"/>
    <x v="3"/>
    <s v="Rajasthan"/>
    <x v="1"/>
    <s v="Shelf"/>
    <s v="Metal Shelf"/>
    <n v="5"/>
    <n v="20339"/>
    <n v="0.09"/>
    <s v="B2C"/>
    <x v="1"/>
    <n v="101695"/>
    <n v="9152.5499999999993"/>
    <n v="92542.45"/>
    <x v="8"/>
  </r>
  <r>
    <n v="1031"/>
    <s v="2023-05-12"/>
    <x v="0"/>
    <s v="West Bengal"/>
    <x v="3"/>
    <s v="Shirt"/>
    <s v="Casual Shirt"/>
    <n v="7"/>
    <n v="32551"/>
    <n v="0.05"/>
    <s v="B2B"/>
    <x v="6"/>
    <n v="227857"/>
    <n v="11392.85"/>
    <n v="216464.15"/>
    <x v="9"/>
  </r>
  <r>
    <n v="1032"/>
    <s v="2023-05-13"/>
    <x v="2"/>
    <s v="Telangana"/>
    <x v="0"/>
    <s v="Monitor"/>
    <s v="Dell 24-inch"/>
    <n v="5"/>
    <n v="13811"/>
    <n v="0.15"/>
    <s v="B2C"/>
    <x v="5"/>
    <n v="69055"/>
    <n v="10358.25"/>
    <n v="58696.75"/>
    <x v="9"/>
  </r>
  <r>
    <n v="1033"/>
    <s v="2023-07-24"/>
    <x v="0"/>
    <s v="West Bengal"/>
    <x v="2"/>
    <s v="Milk"/>
    <s v="Cow Milk"/>
    <n v="10"/>
    <n v="27338"/>
    <n v="0.14000000000000001"/>
    <s v="B2B"/>
    <x v="3"/>
    <n v="273380"/>
    <n v="38273.200000000004"/>
    <n v="235106.8"/>
    <x v="4"/>
  </r>
  <r>
    <n v="1034"/>
    <s v="2023-01-02"/>
    <x v="3"/>
    <s v="Maharashtra"/>
    <x v="2"/>
    <s v="Rice"/>
    <s v="Basmati Rice"/>
    <n v="5"/>
    <n v="26796"/>
    <n v="0.03"/>
    <s v="B2C"/>
    <x v="6"/>
    <n v="133980"/>
    <n v="4019.3999999999996"/>
    <n v="129960.6"/>
    <x v="5"/>
  </r>
  <r>
    <n v="1035"/>
    <s v="2023-02-14"/>
    <x v="1"/>
    <s v="UP"/>
    <x v="3"/>
    <s v="Jeans"/>
    <s v="Slim Fit"/>
    <n v="5"/>
    <n v="42606"/>
    <n v="0.04"/>
    <s v="B2B"/>
    <x v="7"/>
    <n v="213030"/>
    <n v="8521.2000000000007"/>
    <n v="204508.79999999999"/>
    <x v="6"/>
  </r>
  <r>
    <n v="1036"/>
    <s v="2023-05-28"/>
    <x v="2"/>
    <s v="Telangana"/>
    <x v="0"/>
    <s v="Headphones"/>
    <s v="Sony WH-1000XM4"/>
    <n v="4"/>
    <n v="24249"/>
    <n v="0.19"/>
    <s v="B2B"/>
    <x v="1"/>
    <n v="96996"/>
    <n v="18429.240000000002"/>
    <n v="78566.759999999995"/>
    <x v="9"/>
  </r>
  <r>
    <n v="1037"/>
    <s v="2023-05-06"/>
    <x v="2"/>
    <s v="Kerala"/>
    <x v="0"/>
    <s v="Laptop"/>
    <s v="HP Pavilion"/>
    <n v="7"/>
    <n v="11215"/>
    <n v="0.16"/>
    <s v="B2C"/>
    <x v="7"/>
    <n v="78505"/>
    <n v="12560.800000000001"/>
    <n v="65944.2"/>
    <x v="9"/>
  </r>
  <r>
    <n v="1038"/>
    <s v="2023-07-30"/>
    <x v="2"/>
    <s v="Tamil Nadu"/>
    <x v="3"/>
    <s v="Jeans"/>
    <s v="Slim Fit"/>
    <n v="8"/>
    <n v="43581"/>
    <n v="0.1"/>
    <s v="B2B"/>
    <x v="1"/>
    <n v="348648"/>
    <n v="34864.800000000003"/>
    <n v="313783.2"/>
    <x v="4"/>
  </r>
  <r>
    <n v="1039"/>
    <s v="2023-05-15"/>
    <x v="2"/>
    <s v="Kerala"/>
    <x v="3"/>
    <s v="Shirt"/>
    <s v="Formal Shirt"/>
    <n v="1"/>
    <n v="13098"/>
    <n v="0.01"/>
    <s v="B2B"/>
    <x v="1"/>
    <n v="13098"/>
    <n v="130.97999999999999"/>
    <n v="12967.02"/>
    <x v="9"/>
  </r>
  <r>
    <n v="1040"/>
    <s v="2023-07-10"/>
    <x v="0"/>
    <s v="West Bengal"/>
    <x v="1"/>
    <s v="Shelf"/>
    <s v="Metal Shelf"/>
    <n v="7"/>
    <n v="14708"/>
    <n v="0.05"/>
    <s v="B2B"/>
    <x v="6"/>
    <n v="102956"/>
    <n v="5147.8"/>
    <n v="97808.2"/>
    <x v="4"/>
  </r>
  <r>
    <n v="1041"/>
    <s v="2023-02-17"/>
    <x v="1"/>
    <s v="Punjab"/>
    <x v="0"/>
    <s v="Laptop"/>
    <s v="Dell Inspiron"/>
    <n v="5"/>
    <n v="22400"/>
    <n v="0.08"/>
    <s v="B2B"/>
    <x v="7"/>
    <n v="112000"/>
    <n v="8960"/>
    <n v="103040"/>
    <x v="6"/>
  </r>
  <r>
    <n v="1042"/>
    <s v="2023-07-24"/>
    <x v="2"/>
    <s v="Telangana"/>
    <x v="0"/>
    <s v="Monitor"/>
    <s v="Samsung Curved"/>
    <n v="4"/>
    <n v="33812"/>
    <n v="7.0000000000000007E-2"/>
    <s v="B2B"/>
    <x v="1"/>
    <n v="135248"/>
    <n v="9467.36"/>
    <n v="125780.64"/>
    <x v="4"/>
  </r>
  <r>
    <n v="1043"/>
    <s v="2023-07-03"/>
    <x v="0"/>
    <s v="West Bengal"/>
    <x v="3"/>
    <s v="Jacket"/>
    <s v="Windcheater"/>
    <n v="9"/>
    <n v="21386"/>
    <n v="0"/>
    <s v="B2C"/>
    <x v="0"/>
    <n v="192474"/>
    <n v="0"/>
    <n v="192474"/>
    <x v="4"/>
  </r>
  <r>
    <n v="1044"/>
    <s v="2023-03-11"/>
    <x v="1"/>
    <s v="Haryana"/>
    <x v="1"/>
    <s v="Table"/>
    <s v="Dining Table"/>
    <n v="7"/>
    <n v="17887"/>
    <n v="0.12"/>
    <s v="B2C"/>
    <x v="3"/>
    <n v="125209"/>
    <n v="15025.08"/>
    <n v="110183.92"/>
    <x v="8"/>
  </r>
  <r>
    <n v="1045"/>
    <s v="2023-05-03"/>
    <x v="3"/>
    <s v="Rajasthan"/>
    <x v="3"/>
    <s v="Shirt"/>
    <s v="Linen Shirt"/>
    <n v="1"/>
    <n v="27770"/>
    <n v="0.13"/>
    <s v="B2C"/>
    <x v="5"/>
    <n v="27770"/>
    <n v="3610.1"/>
    <n v="24159.9"/>
    <x v="9"/>
  </r>
  <r>
    <n v="1046"/>
    <s v="2023-03-26"/>
    <x v="2"/>
    <s v="Telangana"/>
    <x v="3"/>
    <s v="Jacket"/>
    <s v="Hooded Jacket"/>
    <n v="6"/>
    <n v="29196"/>
    <n v="0.19"/>
    <s v="B2C"/>
    <x v="5"/>
    <n v="175176"/>
    <n v="33283.440000000002"/>
    <n v="141892.56"/>
    <x v="8"/>
  </r>
  <r>
    <n v="1047"/>
    <s v="2023-12-04"/>
    <x v="1"/>
    <s v="Delhi"/>
    <x v="0"/>
    <s v="Mobile"/>
    <s v="iPhone 13"/>
    <n v="4"/>
    <n v="43748"/>
    <n v="0.06"/>
    <s v="B2B"/>
    <x v="1"/>
    <n v="174992"/>
    <n v="10499.52"/>
    <n v="164492.48000000001"/>
    <x v="2"/>
  </r>
  <r>
    <n v="1048"/>
    <s v="2023-01-26"/>
    <x v="1"/>
    <s v="Punjab"/>
    <x v="3"/>
    <s v="T-Shirt"/>
    <s v="Cotton Tee"/>
    <n v="6"/>
    <n v="6641"/>
    <n v="0.1"/>
    <s v="B2B"/>
    <x v="0"/>
    <n v="39846"/>
    <n v="3984.6000000000004"/>
    <n v="35861.4"/>
    <x v="5"/>
  </r>
  <r>
    <n v="1049"/>
    <s v="2023-08-24"/>
    <x v="1"/>
    <s v="UP"/>
    <x v="1"/>
    <s v="Chair"/>
    <s v="Ergo Chair"/>
    <n v="6"/>
    <n v="35223"/>
    <n v="0.11"/>
    <s v="B2B"/>
    <x v="5"/>
    <n v="211338"/>
    <n v="23247.18"/>
    <n v="188090.82"/>
    <x v="3"/>
  </r>
  <r>
    <n v="1050"/>
    <s v="2023-06-23"/>
    <x v="3"/>
    <s v="Maharashtra"/>
    <x v="3"/>
    <s v="T-Shirt"/>
    <s v="Graphic Tee"/>
    <n v="1"/>
    <n v="25754"/>
    <n v="0"/>
    <s v="B2B"/>
    <x v="0"/>
    <n v="25754"/>
    <n v="0"/>
    <n v="25754"/>
    <x v="1"/>
  </r>
  <r>
    <n v="1051"/>
    <s v="2023-02-12"/>
    <x v="0"/>
    <s v="Odisha"/>
    <x v="2"/>
    <s v="Oil"/>
    <s v="Sunflower Oil"/>
    <n v="3"/>
    <n v="13236"/>
    <n v="0.08"/>
    <s v="B2B"/>
    <x v="3"/>
    <n v="39708"/>
    <n v="3176.64"/>
    <n v="36531.360000000001"/>
    <x v="6"/>
  </r>
  <r>
    <n v="1052"/>
    <s v="2023-04-10"/>
    <x v="2"/>
    <s v="Telangana"/>
    <x v="2"/>
    <s v="Oil"/>
    <s v="Sunflower Oil"/>
    <n v="8"/>
    <n v="29235"/>
    <n v="0.16"/>
    <s v="B2B"/>
    <x v="2"/>
    <n v="233880"/>
    <n v="37420.800000000003"/>
    <n v="196459.2"/>
    <x v="0"/>
  </r>
  <r>
    <n v="1053"/>
    <s v="2023-07-28"/>
    <x v="1"/>
    <s v="Punjab"/>
    <x v="0"/>
    <s v="Laptop"/>
    <s v="Acer Aspire 5"/>
    <n v="2"/>
    <n v="46771"/>
    <n v="0.02"/>
    <s v="B2B"/>
    <x v="1"/>
    <n v="93542"/>
    <n v="1870.8400000000001"/>
    <n v="91671.16"/>
    <x v="4"/>
  </r>
  <r>
    <n v="1054"/>
    <s v="2023-10-05"/>
    <x v="2"/>
    <s v="Karnataka"/>
    <x v="0"/>
    <s v="Laptop"/>
    <s v="Dell Inspiron"/>
    <n v="10"/>
    <n v="46646"/>
    <n v="0.13"/>
    <s v="B2B"/>
    <x v="7"/>
    <n v="466460"/>
    <n v="60639.8"/>
    <n v="405820.2"/>
    <x v="11"/>
  </r>
  <r>
    <n v="1055"/>
    <s v="2023-01-15"/>
    <x v="3"/>
    <s v="Maharashtra"/>
    <x v="2"/>
    <s v="Milk"/>
    <s v="Full Cream Milk"/>
    <n v="2"/>
    <n v="34702"/>
    <n v="0.15"/>
    <s v="B2C"/>
    <x v="7"/>
    <n v="69404"/>
    <n v="10410.6"/>
    <n v="58993.4"/>
    <x v="5"/>
  </r>
  <r>
    <n v="1056"/>
    <s v="2023-06-19"/>
    <x v="2"/>
    <s v="Karnataka"/>
    <x v="0"/>
    <s v="Mobile"/>
    <s v="iPhone 13"/>
    <n v="7"/>
    <n v="811"/>
    <n v="0.17"/>
    <s v="B2B"/>
    <x v="3"/>
    <n v="5677"/>
    <n v="965.09"/>
    <n v="4711.91"/>
    <x v="1"/>
  </r>
  <r>
    <n v="1057"/>
    <s v="2023-10-05"/>
    <x v="3"/>
    <s v="Goa"/>
    <x v="0"/>
    <s v="Mobile"/>
    <s v="Samsung S21"/>
    <n v="3"/>
    <n v="40029"/>
    <n v="0.01"/>
    <s v="B2B"/>
    <x v="4"/>
    <n v="120087"/>
    <n v="1200.8700000000001"/>
    <n v="118886.13"/>
    <x v="11"/>
  </r>
  <r>
    <n v="1058"/>
    <s v="2023-04-12"/>
    <x v="1"/>
    <s v="Delhi"/>
    <x v="2"/>
    <s v="Oil"/>
    <s v="Sunflower Oil"/>
    <n v="7"/>
    <n v="14322"/>
    <n v="0.19"/>
    <s v="B2B"/>
    <x v="0"/>
    <n v="100254"/>
    <n v="19048.260000000002"/>
    <n v="81205.739999999991"/>
    <x v="0"/>
  </r>
  <r>
    <n v="1059"/>
    <s v="2023-11-23"/>
    <x v="3"/>
    <s v="Maharashtra"/>
    <x v="2"/>
    <s v="Rice"/>
    <s v="Sona Masoori"/>
    <n v="8"/>
    <n v="47465"/>
    <n v="0.03"/>
    <s v="B2B"/>
    <x v="5"/>
    <n v="379720"/>
    <n v="11391.6"/>
    <n v="368328.4"/>
    <x v="10"/>
  </r>
  <r>
    <n v="1060"/>
    <s v="2023-06-23"/>
    <x v="0"/>
    <s v="Assam"/>
    <x v="0"/>
    <s v="Headphones"/>
    <s v="Boat Rockerz"/>
    <n v="3"/>
    <n v="4508"/>
    <n v="0.02"/>
    <s v="B2B"/>
    <x v="2"/>
    <n v="13524"/>
    <n v="270.48"/>
    <n v="13253.52"/>
    <x v="1"/>
  </r>
  <r>
    <n v="1061"/>
    <s v="2023-09-23"/>
    <x v="2"/>
    <s v="Kerala"/>
    <x v="2"/>
    <s v="Snacks"/>
    <s v="Chips"/>
    <n v="6"/>
    <n v="21510"/>
    <n v="0.05"/>
    <s v="B2B"/>
    <x v="6"/>
    <n v="129060"/>
    <n v="6453"/>
    <n v="122607"/>
    <x v="7"/>
  </r>
  <r>
    <n v="1062"/>
    <s v="2023-12-18"/>
    <x v="2"/>
    <s v="Kerala"/>
    <x v="1"/>
    <s v="Sofa"/>
    <s v="3-Seater Sofa"/>
    <n v="9"/>
    <n v="6713"/>
    <n v="0.14000000000000001"/>
    <s v="B2B"/>
    <x v="3"/>
    <n v="60417"/>
    <n v="8458.380000000001"/>
    <n v="51958.619999999995"/>
    <x v="2"/>
  </r>
  <r>
    <n v="1063"/>
    <s v="2023-08-08"/>
    <x v="0"/>
    <s v="Assam"/>
    <x v="2"/>
    <s v="Milk"/>
    <s v="Full Cream Milk"/>
    <n v="10"/>
    <n v="10054"/>
    <n v="0.11"/>
    <s v="B2B"/>
    <x v="1"/>
    <n v="100540"/>
    <n v="11059.4"/>
    <n v="89480.6"/>
    <x v="3"/>
  </r>
  <r>
    <n v="1064"/>
    <s v="2023-07-05"/>
    <x v="3"/>
    <s v="Goa"/>
    <x v="1"/>
    <s v="Shelf"/>
    <s v="Wall Shelf"/>
    <n v="7"/>
    <n v="6538"/>
    <n v="0"/>
    <s v="B2C"/>
    <x v="6"/>
    <n v="45766"/>
    <n v="0"/>
    <n v="45766"/>
    <x v="4"/>
  </r>
  <r>
    <n v="1065"/>
    <s v="2023-05-18"/>
    <x v="0"/>
    <s v="Bihar"/>
    <x v="1"/>
    <s v="Chair"/>
    <s v="Office Chair Pro"/>
    <n v="3"/>
    <n v="42025"/>
    <n v="7.0000000000000007E-2"/>
    <s v="B2C"/>
    <x v="3"/>
    <n v="126075"/>
    <n v="8825.25"/>
    <n v="117249.75"/>
    <x v="9"/>
  </r>
  <r>
    <n v="1066"/>
    <s v="2023-06-07"/>
    <x v="2"/>
    <s v="Karnataka"/>
    <x v="0"/>
    <s v="Laptop"/>
    <s v="Acer Aspire 5"/>
    <n v="1"/>
    <n v="38321"/>
    <n v="0.08"/>
    <s v="B2C"/>
    <x v="4"/>
    <n v="38321"/>
    <n v="3065.6800000000003"/>
    <n v="35255.32"/>
    <x v="1"/>
  </r>
  <r>
    <n v="1067"/>
    <s v="2023-06-05"/>
    <x v="3"/>
    <s v="Gujarat"/>
    <x v="1"/>
    <s v="Chair"/>
    <s v="Office Chair Pro"/>
    <n v="1"/>
    <n v="17539"/>
    <n v="0.2"/>
    <s v="B2C"/>
    <x v="5"/>
    <n v="17539"/>
    <n v="3507.8"/>
    <n v="14031.2"/>
    <x v="1"/>
  </r>
  <r>
    <n v="1068"/>
    <s v="2023-05-26"/>
    <x v="1"/>
    <s v="Haryana"/>
    <x v="2"/>
    <s v="Snacks"/>
    <s v="Biscuits"/>
    <n v="3"/>
    <n v="1343"/>
    <n v="0.17"/>
    <s v="B2C"/>
    <x v="4"/>
    <n v="4029"/>
    <n v="684.93000000000006"/>
    <n v="3344.0699999999997"/>
    <x v="9"/>
  </r>
  <r>
    <n v="1069"/>
    <s v="2023-10-20"/>
    <x v="0"/>
    <s v="West Bengal"/>
    <x v="0"/>
    <s v="Monitor"/>
    <s v="Samsung Curved"/>
    <n v="1"/>
    <n v="49922"/>
    <n v="0.02"/>
    <s v="B2B"/>
    <x v="1"/>
    <n v="49922"/>
    <n v="998.44"/>
    <n v="48923.56"/>
    <x v="11"/>
  </r>
  <r>
    <n v="1070"/>
    <s v="2023-12-04"/>
    <x v="3"/>
    <s v="Rajasthan"/>
    <x v="0"/>
    <s v="Mobile"/>
    <s v="Samsung S21"/>
    <n v="9"/>
    <n v="10629"/>
    <n v="0.13"/>
    <s v="B2B"/>
    <x v="4"/>
    <n v="95661"/>
    <n v="12435.93"/>
    <n v="83225.070000000007"/>
    <x v="2"/>
  </r>
  <r>
    <n v="1071"/>
    <s v="2023-11-05"/>
    <x v="3"/>
    <s v="Rajasthan"/>
    <x v="1"/>
    <s v="Sofa"/>
    <s v="3-Seater Sofa"/>
    <n v="4"/>
    <n v="10394"/>
    <n v="0.11"/>
    <s v="B2C"/>
    <x v="7"/>
    <n v="41576"/>
    <n v="4573.3599999999997"/>
    <n v="37002.639999999999"/>
    <x v="10"/>
  </r>
  <r>
    <n v="1072"/>
    <s v="2023-08-11"/>
    <x v="1"/>
    <s v="Punjab"/>
    <x v="3"/>
    <s v="T-Shirt"/>
    <s v="Sports Tee"/>
    <n v="8"/>
    <n v="8454"/>
    <n v="0.12"/>
    <s v="B2C"/>
    <x v="2"/>
    <n v="67632"/>
    <n v="8115.84"/>
    <n v="59516.160000000003"/>
    <x v="3"/>
  </r>
  <r>
    <n v="1073"/>
    <s v="2023-04-30"/>
    <x v="3"/>
    <s v="Gujarat"/>
    <x v="2"/>
    <s v="Oil"/>
    <s v="Mustard Oil"/>
    <n v="9"/>
    <n v="36897"/>
    <n v="0.06"/>
    <s v="B2C"/>
    <x v="2"/>
    <n v="332073"/>
    <n v="19924.38"/>
    <n v="312148.62"/>
    <x v="0"/>
  </r>
  <r>
    <n v="1074"/>
    <s v="2023-05-30"/>
    <x v="1"/>
    <s v="UP"/>
    <x v="0"/>
    <s v="Headphones"/>
    <s v="Boat Rockerz"/>
    <n v="2"/>
    <n v="26407"/>
    <n v="0.11"/>
    <s v="B2C"/>
    <x v="2"/>
    <n v="52814"/>
    <n v="5809.54"/>
    <n v="47004.46"/>
    <x v="9"/>
  </r>
  <r>
    <n v="1075"/>
    <s v="2023-12-12"/>
    <x v="2"/>
    <s v="Kerala"/>
    <x v="2"/>
    <s v="Snacks"/>
    <s v="Biscuits"/>
    <n v="2"/>
    <n v="3114"/>
    <n v="0.12"/>
    <s v="B2C"/>
    <x v="1"/>
    <n v="6228"/>
    <n v="747.36"/>
    <n v="5480.64"/>
    <x v="2"/>
  </r>
  <r>
    <n v="1076"/>
    <s v="2023-06-27"/>
    <x v="3"/>
    <s v="Goa"/>
    <x v="1"/>
    <s v="Table"/>
    <s v="Office Table"/>
    <n v="8"/>
    <n v="24515"/>
    <n v="0.14000000000000001"/>
    <s v="B2B"/>
    <x v="5"/>
    <n v="196120"/>
    <n v="27456.800000000003"/>
    <n v="168663.2"/>
    <x v="1"/>
  </r>
  <r>
    <n v="1077"/>
    <s v="2023-01-05"/>
    <x v="1"/>
    <s v="Haryana"/>
    <x v="3"/>
    <s v="Jeans"/>
    <s v="Regular Fit"/>
    <n v="6"/>
    <n v="25155"/>
    <n v="0.08"/>
    <s v="B2B"/>
    <x v="0"/>
    <n v="150930"/>
    <n v="12074.4"/>
    <n v="138855.6"/>
    <x v="5"/>
  </r>
  <r>
    <n v="1078"/>
    <s v="2023-07-08"/>
    <x v="1"/>
    <s v="UP"/>
    <x v="0"/>
    <s v="Headphones"/>
    <s v="Boat Rockerz"/>
    <n v="8"/>
    <n v="12474"/>
    <n v="0.14000000000000001"/>
    <s v="B2C"/>
    <x v="0"/>
    <n v="99792"/>
    <n v="13970.880000000001"/>
    <n v="85821.119999999995"/>
    <x v="4"/>
  </r>
  <r>
    <n v="1079"/>
    <s v="2023-01-28"/>
    <x v="2"/>
    <s v="Kerala"/>
    <x v="0"/>
    <s v="Monitor"/>
    <s v="Dell 24-inch"/>
    <n v="5"/>
    <n v="21432"/>
    <n v="0.1"/>
    <s v="B2C"/>
    <x v="5"/>
    <n v="107160"/>
    <n v="10716"/>
    <n v="96444"/>
    <x v="5"/>
  </r>
  <r>
    <n v="1080"/>
    <s v="2023-01-30"/>
    <x v="1"/>
    <s v="Haryana"/>
    <x v="0"/>
    <s v="Monitor"/>
    <s v="Dell 24-inch"/>
    <n v="7"/>
    <n v="41716"/>
    <n v="0.16"/>
    <s v="B2C"/>
    <x v="4"/>
    <n v="292012"/>
    <n v="46721.919999999998"/>
    <n v="245290.08000000002"/>
    <x v="5"/>
  </r>
  <r>
    <n v="1081"/>
    <s v="2023-06-15"/>
    <x v="3"/>
    <s v="Maharashtra"/>
    <x v="2"/>
    <s v="Milk"/>
    <s v="Cow Milk"/>
    <n v="9"/>
    <n v="29852"/>
    <n v="0.11"/>
    <s v="B2B"/>
    <x v="7"/>
    <n v="268668"/>
    <n v="29553.48"/>
    <n v="239114.52"/>
    <x v="1"/>
  </r>
  <r>
    <n v="1082"/>
    <s v="2023-10-24"/>
    <x v="3"/>
    <s v="Rajasthan"/>
    <x v="3"/>
    <s v="Jeans"/>
    <s v="Stretch Fit"/>
    <n v="9"/>
    <n v="43258"/>
    <n v="0.02"/>
    <s v="B2C"/>
    <x v="1"/>
    <n v="389322"/>
    <n v="7786.4400000000005"/>
    <n v="381535.56"/>
    <x v="11"/>
  </r>
  <r>
    <n v="1083"/>
    <s v="2023-10-30"/>
    <x v="1"/>
    <s v="Punjab"/>
    <x v="0"/>
    <s v="Headphones"/>
    <s v="Boat Rockerz"/>
    <n v="5"/>
    <n v="42489"/>
    <n v="0.03"/>
    <s v="B2B"/>
    <x v="5"/>
    <n v="212445"/>
    <n v="6373.3499999999995"/>
    <n v="206071.65"/>
    <x v="11"/>
  </r>
  <r>
    <n v="1084"/>
    <s v="2023-12-31"/>
    <x v="3"/>
    <s v="Goa"/>
    <x v="1"/>
    <s v="Chair"/>
    <s v="Ergo Chair"/>
    <n v="10"/>
    <n v="27301"/>
    <n v="0.15"/>
    <s v="B2C"/>
    <x v="0"/>
    <n v="273010"/>
    <n v="40951.5"/>
    <n v="232058.5"/>
    <x v="2"/>
  </r>
  <r>
    <n v="1085"/>
    <s v="2023-08-05"/>
    <x v="0"/>
    <s v="Assam"/>
    <x v="3"/>
    <s v="Jeans"/>
    <s v="Stretch Fit"/>
    <n v="3"/>
    <n v="37824"/>
    <n v="0.06"/>
    <s v="B2B"/>
    <x v="7"/>
    <n v="113472"/>
    <n v="6808.32"/>
    <n v="106663.67999999999"/>
    <x v="3"/>
  </r>
  <r>
    <n v="1086"/>
    <s v="2023-12-19"/>
    <x v="2"/>
    <s v="Tamil Nadu"/>
    <x v="3"/>
    <s v="Jacket"/>
    <s v="Leather Jacket"/>
    <n v="4"/>
    <n v="41988"/>
    <n v="0.12"/>
    <s v="B2C"/>
    <x v="6"/>
    <n v="167952"/>
    <n v="20154.239999999998"/>
    <n v="147797.76000000001"/>
    <x v="2"/>
  </r>
  <r>
    <n v="1087"/>
    <s v="2023-06-05"/>
    <x v="0"/>
    <s v="Odisha"/>
    <x v="1"/>
    <s v="Chair"/>
    <s v="Office Chair Pro"/>
    <n v="5"/>
    <n v="18016"/>
    <n v="7.0000000000000007E-2"/>
    <s v="B2B"/>
    <x v="0"/>
    <n v="90080"/>
    <n v="6305.6"/>
    <n v="83774.399999999994"/>
    <x v="1"/>
  </r>
  <r>
    <n v="1088"/>
    <s v="2023-07-01"/>
    <x v="1"/>
    <s v="Delhi"/>
    <x v="1"/>
    <s v="Chair"/>
    <s v="Wooden Chair"/>
    <n v="8"/>
    <n v="11486"/>
    <n v="0.17"/>
    <s v="B2C"/>
    <x v="4"/>
    <n v="91888"/>
    <n v="15620.960000000001"/>
    <n v="76267.039999999994"/>
    <x v="4"/>
  </r>
  <r>
    <n v="1089"/>
    <s v="2023-03-28"/>
    <x v="3"/>
    <s v="Rajasthan"/>
    <x v="3"/>
    <s v="Shirt"/>
    <s v="Casual Shirt"/>
    <n v="8"/>
    <n v="33981"/>
    <n v="0.13"/>
    <s v="B2B"/>
    <x v="2"/>
    <n v="271848"/>
    <n v="35340.239999999998"/>
    <n v="236507.76"/>
    <x v="8"/>
  </r>
  <r>
    <n v="1090"/>
    <s v="2023-10-01"/>
    <x v="2"/>
    <s v="Kerala"/>
    <x v="0"/>
    <s v="Headphones"/>
    <s v="Sony WH-1000XM4"/>
    <n v="9"/>
    <n v="23864"/>
    <n v="0.01"/>
    <s v="B2B"/>
    <x v="5"/>
    <n v="214776"/>
    <n v="2147.7600000000002"/>
    <n v="212628.24"/>
    <x v="11"/>
  </r>
  <r>
    <n v="1091"/>
    <s v="2023-02-05"/>
    <x v="2"/>
    <s v="Tamil Nadu"/>
    <x v="3"/>
    <s v="T-Shirt"/>
    <s v="Graphic Tee"/>
    <n v="6"/>
    <n v="38835"/>
    <n v="0.12"/>
    <s v="B2C"/>
    <x v="4"/>
    <n v="233010"/>
    <n v="27961.200000000001"/>
    <n v="205048.8"/>
    <x v="6"/>
  </r>
  <r>
    <n v="1092"/>
    <s v="2023-09-11"/>
    <x v="2"/>
    <s v="Tamil Nadu"/>
    <x v="1"/>
    <s v="Table"/>
    <s v="Dining Table"/>
    <n v="6"/>
    <n v="35216"/>
    <n v="0.2"/>
    <s v="B2B"/>
    <x v="4"/>
    <n v="211296"/>
    <n v="42259.200000000004"/>
    <n v="169036.79999999999"/>
    <x v="7"/>
  </r>
  <r>
    <n v="1093"/>
    <s v="2023-01-31"/>
    <x v="3"/>
    <s v="Goa"/>
    <x v="1"/>
    <s v="Chair"/>
    <s v="Ergo Chair"/>
    <n v="1"/>
    <n v="14263"/>
    <n v="0.19"/>
    <s v="B2C"/>
    <x v="4"/>
    <n v="14263"/>
    <n v="2709.9700000000003"/>
    <n v="11553.029999999999"/>
    <x v="5"/>
  </r>
  <r>
    <n v="1094"/>
    <s v="2023-06-26"/>
    <x v="2"/>
    <s v="Telangana"/>
    <x v="3"/>
    <s v="T-Shirt"/>
    <s v="Cotton Tee"/>
    <n v="9"/>
    <n v="1612"/>
    <n v="0.09"/>
    <s v="B2C"/>
    <x v="2"/>
    <n v="14508"/>
    <n v="1305.72"/>
    <n v="13202.28"/>
    <x v="1"/>
  </r>
  <r>
    <n v="1095"/>
    <s v="2023-11-26"/>
    <x v="3"/>
    <s v="Rajasthan"/>
    <x v="1"/>
    <s v="Sofa"/>
    <s v="Fabric Sofa"/>
    <n v="5"/>
    <n v="10549"/>
    <n v="0.13"/>
    <s v="B2B"/>
    <x v="1"/>
    <n v="52745"/>
    <n v="6856.85"/>
    <n v="45888.15"/>
    <x v="10"/>
  </r>
  <r>
    <n v="1096"/>
    <s v="2023-02-01"/>
    <x v="3"/>
    <s v="Goa"/>
    <x v="3"/>
    <s v="Jeans"/>
    <s v="Slim Fit"/>
    <n v="8"/>
    <n v="36450"/>
    <n v="0.06"/>
    <s v="B2B"/>
    <x v="2"/>
    <n v="291600"/>
    <n v="17496"/>
    <n v="274104"/>
    <x v="6"/>
  </r>
  <r>
    <n v="1097"/>
    <s v="2023-06-27"/>
    <x v="3"/>
    <s v="Maharashtra"/>
    <x v="1"/>
    <s v="Chair"/>
    <s v="Ergo Chair"/>
    <n v="5"/>
    <n v="45114"/>
    <n v="0.12"/>
    <s v="B2C"/>
    <x v="4"/>
    <n v="225570"/>
    <n v="27068.399999999998"/>
    <n v="198501.6"/>
    <x v="1"/>
  </r>
  <r>
    <n v="1098"/>
    <s v="2023-08-06"/>
    <x v="2"/>
    <s v="Telangana"/>
    <x v="1"/>
    <s v="Sofa"/>
    <s v="Fabric Sofa"/>
    <n v="2"/>
    <n v="12984"/>
    <n v="0.1"/>
    <s v="B2B"/>
    <x v="2"/>
    <n v="25968"/>
    <n v="2596.8000000000002"/>
    <n v="23371.200000000001"/>
    <x v="3"/>
  </r>
  <r>
    <n v="1099"/>
    <s v="2023-10-29"/>
    <x v="3"/>
    <s v="Maharashtra"/>
    <x v="3"/>
    <s v="Shirt"/>
    <s v="Linen Shirt"/>
    <n v="7"/>
    <n v="22071"/>
    <n v="0.01"/>
    <s v="B2B"/>
    <x v="2"/>
    <n v="154497"/>
    <n v="1544.97"/>
    <n v="152952.03"/>
    <x v="11"/>
  </r>
  <r>
    <n v="1100"/>
    <s v="2023-04-09"/>
    <x v="1"/>
    <s v="Haryana"/>
    <x v="1"/>
    <s v="Shelf"/>
    <s v="Wall Shelf"/>
    <n v="10"/>
    <n v="8406"/>
    <n v="7.0000000000000007E-2"/>
    <s v="B2C"/>
    <x v="0"/>
    <n v="84060"/>
    <n v="5884.2000000000007"/>
    <n v="78175.8"/>
    <x v="0"/>
  </r>
  <r>
    <n v="1101"/>
    <s v="2023-12-29"/>
    <x v="2"/>
    <s v="Kerala"/>
    <x v="1"/>
    <s v="Shelf"/>
    <s v="Wall Shelf"/>
    <n v="2"/>
    <n v="19806"/>
    <n v="0.05"/>
    <s v="B2B"/>
    <x v="6"/>
    <n v="39612"/>
    <n v="1980.6000000000001"/>
    <n v="37631.4"/>
    <x v="2"/>
  </r>
  <r>
    <n v="1102"/>
    <s v="2023-03-10"/>
    <x v="0"/>
    <s v="Odisha"/>
    <x v="0"/>
    <s v="Laptop"/>
    <s v="Acer Aspire 5"/>
    <n v="10"/>
    <n v="10205"/>
    <n v="0.02"/>
    <s v="B2B"/>
    <x v="6"/>
    <n v="102050"/>
    <n v="2041"/>
    <n v="100009"/>
    <x v="8"/>
  </r>
  <r>
    <n v="1103"/>
    <s v="2023-12-22"/>
    <x v="2"/>
    <s v="Kerala"/>
    <x v="2"/>
    <s v="Oil"/>
    <s v="Olive Oil"/>
    <n v="4"/>
    <n v="31257"/>
    <n v="0.11"/>
    <s v="B2B"/>
    <x v="5"/>
    <n v="125028"/>
    <n v="13753.08"/>
    <n v="111274.92"/>
    <x v="2"/>
  </r>
  <r>
    <n v="1104"/>
    <s v="2023-01-14"/>
    <x v="2"/>
    <s v="Tamil Nadu"/>
    <x v="3"/>
    <s v="Shirt"/>
    <s v="Formal Shirt"/>
    <n v="7"/>
    <n v="45758"/>
    <n v="0.03"/>
    <s v="B2C"/>
    <x v="7"/>
    <n v="320306"/>
    <n v="9609.18"/>
    <n v="310696.82"/>
    <x v="5"/>
  </r>
  <r>
    <n v="1105"/>
    <s v="2023-02-04"/>
    <x v="1"/>
    <s v="UP"/>
    <x v="3"/>
    <s v="T-Shirt"/>
    <s v="Sports Tee"/>
    <n v="3"/>
    <n v="1357"/>
    <n v="0.19"/>
    <s v="B2C"/>
    <x v="1"/>
    <n v="4071"/>
    <n v="773.49"/>
    <n v="3297.51"/>
    <x v="6"/>
  </r>
  <r>
    <n v="1106"/>
    <s v="2023-01-09"/>
    <x v="0"/>
    <s v="Odisha"/>
    <x v="2"/>
    <s v="Milk"/>
    <s v="Full Cream Milk"/>
    <n v="1"/>
    <n v="21761"/>
    <n v="0.18"/>
    <s v="B2C"/>
    <x v="3"/>
    <n v="21761"/>
    <n v="3916.98"/>
    <n v="17844.02"/>
    <x v="5"/>
  </r>
  <r>
    <n v="1107"/>
    <s v="2023-08-30"/>
    <x v="1"/>
    <s v="Punjab"/>
    <x v="3"/>
    <s v="T-Shirt"/>
    <s v="Graphic Tee"/>
    <n v="6"/>
    <n v="18512"/>
    <n v="0.17"/>
    <s v="B2B"/>
    <x v="5"/>
    <n v="111072"/>
    <n v="18882.240000000002"/>
    <n v="92189.759999999995"/>
    <x v="3"/>
  </r>
  <r>
    <n v="1108"/>
    <s v="2023-01-24"/>
    <x v="2"/>
    <s v="Kerala"/>
    <x v="2"/>
    <s v="Rice"/>
    <s v="Sona Masoori"/>
    <n v="7"/>
    <n v="39773"/>
    <n v="0.04"/>
    <s v="B2C"/>
    <x v="5"/>
    <n v="278411"/>
    <n v="11136.44"/>
    <n v="267274.56"/>
    <x v="5"/>
  </r>
  <r>
    <n v="1109"/>
    <s v="2023-12-10"/>
    <x v="2"/>
    <s v="Tamil Nadu"/>
    <x v="3"/>
    <s v="Jeans"/>
    <s v="Stretch Fit"/>
    <n v="1"/>
    <n v="35493"/>
    <n v="0.03"/>
    <s v="B2B"/>
    <x v="7"/>
    <n v="35493"/>
    <n v="1064.79"/>
    <n v="34428.21"/>
    <x v="2"/>
  </r>
  <r>
    <n v="1110"/>
    <s v="2023-07-17"/>
    <x v="2"/>
    <s v="Tamil Nadu"/>
    <x v="2"/>
    <s v="Milk"/>
    <s v="Full Cream Milk"/>
    <n v="7"/>
    <n v="9371"/>
    <n v="0.05"/>
    <s v="B2B"/>
    <x v="4"/>
    <n v="65597"/>
    <n v="3279.8500000000004"/>
    <n v="62317.15"/>
    <x v="4"/>
  </r>
  <r>
    <n v="1111"/>
    <s v="2023-12-09"/>
    <x v="1"/>
    <s v="Punjab"/>
    <x v="2"/>
    <s v="Oil"/>
    <s v="Olive Oil"/>
    <n v="10"/>
    <n v="635"/>
    <n v="0.01"/>
    <s v="B2B"/>
    <x v="3"/>
    <n v="6350"/>
    <n v="63.5"/>
    <n v="6286.5"/>
    <x v="2"/>
  </r>
  <r>
    <n v="1112"/>
    <s v="2023-09-27"/>
    <x v="2"/>
    <s v="Tamil Nadu"/>
    <x v="1"/>
    <s v="Shelf"/>
    <s v="Wall Shelf"/>
    <n v="8"/>
    <n v="20858"/>
    <n v="0.03"/>
    <s v="B2C"/>
    <x v="1"/>
    <n v="166864"/>
    <n v="5005.92"/>
    <n v="161858.07999999999"/>
    <x v="7"/>
  </r>
  <r>
    <n v="1113"/>
    <s v="2023-09-05"/>
    <x v="2"/>
    <s v="Telangana"/>
    <x v="0"/>
    <s v="Headphones"/>
    <s v="Boat Rockerz"/>
    <n v="5"/>
    <n v="34695"/>
    <n v="0.08"/>
    <s v="B2B"/>
    <x v="7"/>
    <n v="173475"/>
    <n v="13878"/>
    <n v="159597"/>
    <x v="7"/>
  </r>
  <r>
    <n v="1114"/>
    <s v="2023-02-14"/>
    <x v="3"/>
    <s v="Gujarat"/>
    <x v="0"/>
    <s v="Laptop"/>
    <s v="Acer Aspire 5"/>
    <n v="2"/>
    <n v="37272"/>
    <n v="0.15"/>
    <s v="B2B"/>
    <x v="7"/>
    <n v="74544"/>
    <n v="11181.6"/>
    <n v="63362.400000000001"/>
    <x v="6"/>
  </r>
  <r>
    <n v="1115"/>
    <s v="2023-12-28"/>
    <x v="3"/>
    <s v="Maharashtra"/>
    <x v="3"/>
    <s v="Jacket"/>
    <s v="Windcheater"/>
    <n v="2"/>
    <n v="33825"/>
    <n v="0.13"/>
    <s v="B2B"/>
    <x v="1"/>
    <n v="67650"/>
    <n v="8794.5"/>
    <n v="58855.5"/>
    <x v="2"/>
  </r>
  <r>
    <n v="1116"/>
    <s v="2023-07-06"/>
    <x v="3"/>
    <s v="Rajasthan"/>
    <x v="0"/>
    <s v="Monitor"/>
    <s v="Samsung Curved"/>
    <n v="4"/>
    <n v="44357"/>
    <n v="0.04"/>
    <s v="B2C"/>
    <x v="3"/>
    <n v="177428"/>
    <n v="7097.12"/>
    <n v="170330.88"/>
    <x v="4"/>
  </r>
  <r>
    <n v="1117"/>
    <s v="2023-07-09"/>
    <x v="0"/>
    <s v="West Bengal"/>
    <x v="1"/>
    <s v="Chair"/>
    <s v="Office Chair Pro"/>
    <n v="2"/>
    <n v="47689"/>
    <n v="0.08"/>
    <s v="B2B"/>
    <x v="2"/>
    <n v="95378"/>
    <n v="7630.24"/>
    <n v="87747.76"/>
    <x v="4"/>
  </r>
  <r>
    <n v="1118"/>
    <s v="2023-06-22"/>
    <x v="1"/>
    <s v="Delhi"/>
    <x v="3"/>
    <s v="T-Shirt"/>
    <s v="Cotton Tee"/>
    <n v="4"/>
    <n v="29509"/>
    <n v="0.1"/>
    <s v="B2C"/>
    <x v="0"/>
    <n v="118036"/>
    <n v="11803.6"/>
    <n v="106232.4"/>
    <x v="1"/>
  </r>
  <r>
    <n v="1119"/>
    <s v="2023-02-16"/>
    <x v="0"/>
    <s v="Bihar"/>
    <x v="0"/>
    <s v="Headphones"/>
    <s v="Boat Rockerz"/>
    <n v="1"/>
    <n v="9756"/>
    <n v="0.11"/>
    <s v="B2B"/>
    <x v="4"/>
    <n v="9756"/>
    <n v="1073.1600000000001"/>
    <n v="8682.84"/>
    <x v="6"/>
  </r>
  <r>
    <n v="1120"/>
    <s v="2023-02-05"/>
    <x v="1"/>
    <s v="Haryana"/>
    <x v="2"/>
    <s v="Oil"/>
    <s v="Mustard Oil"/>
    <n v="10"/>
    <n v="36997"/>
    <n v="0.05"/>
    <s v="B2B"/>
    <x v="5"/>
    <n v="369970"/>
    <n v="18498.5"/>
    <n v="351471.5"/>
    <x v="6"/>
  </r>
  <r>
    <n v="1121"/>
    <s v="2023-06-14"/>
    <x v="1"/>
    <s v="Haryana"/>
    <x v="0"/>
    <s v="Laptop"/>
    <s v="HP Pavilion"/>
    <n v="8"/>
    <n v="38256"/>
    <n v="0.15"/>
    <s v="B2C"/>
    <x v="4"/>
    <n v="306048"/>
    <n v="45907.199999999997"/>
    <n v="260140.79999999999"/>
    <x v="1"/>
  </r>
  <r>
    <n v="1122"/>
    <s v="2023-10-12"/>
    <x v="0"/>
    <s v="Assam"/>
    <x v="2"/>
    <s v="Milk"/>
    <s v="Full Cream Milk"/>
    <n v="2"/>
    <n v="13301"/>
    <n v="0.06"/>
    <s v="B2C"/>
    <x v="1"/>
    <n v="26602"/>
    <n v="1596.12"/>
    <n v="25005.88"/>
    <x v="11"/>
  </r>
  <r>
    <n v="1123"/>
    <s v="2023-09-16"/>
    <x v="1"/>
    <s v="Delhi"/>
    <x v="1"/>
    <s v="Chair"/>
    <s v="Office Chair Pro"/>
    <n v="4"/>
    <n v="33262"/>
    <n v="0.01"/>
    <s v="B2B"/>
    <x v="7"/>
    <n v="133048"/>
    <n v="1330.48"/>
    <n v="131717.51999999999"/>
    <x v="7"/>
  </r>
  <r>
    <n v="1124"/>
    <s v="2023-09-07"/>
    <x v="3"/>
    <s v="Maharashtra"/>
    <x v="2"/>
    <s v="Oil"/>
    <s v="Olive Oil"/>
    <n v="5"/>
    <n v="33264"/>
    <n v="0.14000000000000001"/>
    <s v="B2B"/>
    <x v="4"/>
    <n v="166320"/>
    <n v="23284.800000000003"/>
    <n v="143035.20000000001"/>
    <x v="7"/>
  </r>
  <r>
    <n v="1125"/>
    <s v="2023-09-14"/>
    <x v="3"/>
    <s v="Goa"/>
    <x v="3"/>
    <s v="T-Shirt"/>
    <s v="Graphic Tee"/>
    <n v="6"/>
    <n v="15918"/>
    <n v="0.1"/>
    <s v="B2B"/>
    <x v="1"/>
    <n v="95508"/>
    <n v="9550.8000000000011"/>
    <n v="85957.2"/>
    <x v="7"/>
  </r>
  <r>
    <n v="1126"/>
    <s v="2023-08-06"/>
    <x v="0"/>
    <s v="Odisha"/>
    <x v="0"/>
    <s v="Monitor"/>
    <s v="Samsung Curved"/>
    <n v="10"/>
    <n v="27819"/>
    <n v="0.18"/>
    <s v="B2B"/>
    <x v="1"/>
    <n v="278190"/>
    <n v="50074.2"/>
    <n v="228115.8"/>
    <x v="3"/>
  </r>
  <r>
    <n v="1127"/>
    <s v="2023-05-20"/>
    <x v="1"/>
    <s v="Delhi"/>
    <x v="2"/>
    <s v="Snacks"/>
    <s v="Chips"/>
    <n v="6"/>
    <n v="37811"/>
    <n v="0.09"/>
    <s v="B2B"/>
    <x v="0"/>
    <n v="226866"/>
    <n v="20417.939999999999"/>
    <n v="206448.06"/>
    <x v="9"/>
  </r>
  <r>
    <n v="1128"/>
    <s v="2023-10-19"/>
    <x v="3"/>
    <s v="Goa"/>
    <x v="0"/>
    <s v="Mobile"/>
    <s v="Redmi Note 12"/>
    <n v="9"/>
    <n v="4856"/>
    <n v="0.03"/>
    <s v="B2C"/>
    <x v="7"/>
    <n v="43704"/>
    <n v="1311.12"/>
    <n v="42392.88"/>
    <x v="11"/>
  </r>
  <r>
    <n v="1129"/>
    <s v="2023-09-09"/>
    <x v="1"/>
    <s v="Delhi"/>
    <x v="1"/>
    <s v="Shelf"/>
    <s v="Wooden Shelf"/>
    <n v="7"/>
    <n v="35218"/>
    <n v="0.05"/>
    <s v="B2B"/>
    <x v="1"/>
    <n v="246526"/>
    <n v="12326.300000000001"/>
    <n v="234199.7"/>
    <x v="7"/>
  </r>
  <r>
    <n v="1130"/>
    <s v="2023-03-03"/>
    <x v="1"/>
    <s v="Haryana"/>
    <x v="1"/>
    <s v="Table"/>
    <s v="Coffee Table"/>
    <n v="5"/>
    <n v="26481"/>
    <n v="0.08"/>
    <s v="B2C"/>
    <x v="6"/>
    <n v="132405"/>
    <n v="10592.4"/>
    <n v="121812.6"/>
    <x v="8"/>
  </r>
  <r>
    <n v="1131"/>
    <s v="2023-10-26"/>
    <x v="1"/>
    <s v="Haryana"/>
    <x v="1"/>
    <s v="Chair"/>
    <s v="Wooden Chair"/>
    <n v="10"/>
    <n v="1790"/>
    <n v="0.02"/>
    <s v="B2B"/>
    <x v="6"/>
    <n v="17900"/>
    <n v="358"/>
    <n v="17542"/>
    <x v="11"/>
  </r>
  <r>
    <n v="1132"/>
    <s v="2023-06-22"/>
    <x v="2"/>
    <s v="Kerala"/>
    <x v="0"/>
    <s v="Mobile"/>
    <s v="Redmi Note 12"/>
    <n v="8"/>
    <n v="16223"/>
    <n v="0.2"/>
    <s v="B2C"/>
    <x v="7"/>
    <n v="129784"/>
    <n v="25956.800000000003"/>
    <n v="103827.2"/>
    <x v="1"/>
  </r>
  <r>
    <n v="1133"/>
    <s v="2023-05-03"/>
    <x v="0"/>
    <s v="Bihar"/>
    <x v="3"/>
    <s v="Jacket"/>
    <s v="Leather Jacket"/>
    <n v="4"/>
    <n v="30803"/>
    <n v="0.13"/>
    <s v="B2C"/>
    <x v="3"/>
    <n v="123212"/>
    <n v="16017.560000000001"/>
    <n v="107194.44"/>
    <x v="9"/>
  </r>
  <r>
    <n v="1134"/>
    <s v="2023-12-09"/>
    <x v="0"/>
    <s v="Odisha"/>
    <x v="2"/>
    <s v="Snacks"/>
    <s v="Biscuits"/>
    <n v="2"/>
    <n v="28038"/>
    <n v="0.04"/>
    <s v="B2B"/>
    <x v="7"/>
    <n v="56076"/>
    <n v="2243.04"/>
    <n v="53832.959999999999"/>
    <x v="2"/>
  </r>
  <r>
    <n v="1135"/>
    <s v="2024-01-01"/>
    <x v="0"/>
    <s v="Odisha"/>
    <x v="2"/>
    <s v="Rice"/>
    <s v="Sona Masoori"/>
    <n v="7"/>
    <n v="27126"/>
    <n v="0.16"/>
    <s v="B2C"/>
    <x v="5"/>
    <n v="189882"/>
    <n v="30381.119999999999"/>
    <n v="159500.88"/>
    <x v="5"/>
  </r>
  <r>
    <n v="1136"/>
    <s v="2023-03-03"/>
    <x v="1"/>
    <s v="Punjab"/>
    <x v="1"/>
    <s v="Shelf"/>
    <s v="Wall Shelf"/>
    <n v="1"/>
    <n v="34167"/>
    <n v="0.14000000000000001"/>
    <s v="B2B"/>
    <x v="2"/>
    <n v="34167"/>
    <n v="4783.38"/>
    <n v="29383.62"/>
    <x v="8"/>
  </r>
  <r>
    <n v="1137"/>
    <s v="2023-05-28"/>
    <x v="3"/>
    <s v="Goa"/>
    <x v="0"/>
    <s v="Monitor"/>
    <s v="Dell 24-inch"/>
    <n v="9"/>
    <n v="17362"/>
    <n v="0.13"/>
    <s v="B2C"/>
    <x v="0"/>
    <n v="156258"/>
    <n v="20313.54"/>
    <n v="135944.46"/>
    <x v="9"/>
  </r>
  <r>
    <n v="1138"/>
    <s v="2023-07-13"/>
    <x v="3"/>
    <s v="Maharashtra"/>
    <x v="1"/>
    <s v="Sofa"/>
    <s v="3-Seater Sofa"/>
    <n v="5"/>
    <n v="29948"/>
    <n v="0.14000000000000001"/>
    <s v="B2B"/>
    <x v="1"/>
    <n v="149740"/>
    <n v="20963.600000000002"/>
    <n v="128776.4"/>
    <x v="4"/>
  </r>
  <r>
    <n v="1139"/>
    <s v="2023-09-22"/>
    <x v="1"/>
    <s v="UP"/>
    <x v="3"/>
    <s v="Jeans"/>
    <s v="Stretch Fit"/>
    <n v="4"/>
    <n v="36239"/>
    <n v="0.16"/>
    <s v="B2C"/>
    <x v="4"/>
    <n v="144956"/>
    <n v="23192.959999999999"/>
    <n v="121763.04000000001"/>
    <x v="7"/>
  </r>
  <r>
    <n v="1140"/>
    <s v="2023-03-28"/>
    <x v="0"/>
    <s v="West Bengal"/>
    <x v="1"/>
    <s v="Chair"/>
    <s v="Wooden Chair"/>
    <n v="10"/>
    <n v="49292"/>
    <n v="0.06"/>
    <s v="B2C"/>
    <x v="4"/>
    <n v="492920"/>
    <n v="29575.199999999997"/>
    <n v="463344.8"/>
    <x v="8"/>
  </r>
  <r>
    <n v="1141"/>
    <s v="2023-01-29"/>
    <x v="0"/>
    <s v="Assam"/>
    <x v="2"/>
    <s v="Rice"/>
    <s v="Basmati Rice"/>
    <n v="1"/>
    <n v="22773"/>
    <n v="0.14000000000000001"/>
    <s v="B2B"/>
    <x v="5"/>
    <n v="22773"/>
    <n v="3188.2200000000003"/>
    <n v="19584.78"/>
    <x v="5"/>
  </r>
  <r>
    <n v="1142"/>
    <s v="2023-02-09"/>
    <x v="0"/>
    <s v="West Bengal"/>
    <x v="3"/>
    <s v="Shirt"/>
    <s v="Linen Shirt"/>
    <n v="3"/>
    <n v="14188"/>
    <n v="0.16"/>
    <s v="B2C"/>
    <x v="6"/>
    <n v="42564"/>
    <n v="6810.24"/>
    <n v="35753.760000000002"/>
    <x v="6"/>
  </r>
  <r>
    <n v="1143"/>
    <s v="2023-10-01"/>
    <x v="0"/>
    <s v="Assam"/>
    <x v="3"/>
    <s v="Jeans"/>
    <s v="Stretch Fit"/>
    <n v="10"/>
    <n v="24549"/>
    <n v="0.09"/>
    <s v="B2C"/>
    <x v="4"/>
    <n v="245490"/>
    <n v="22094.1"/>
    <n v="223395.9"/>
    <x v="11"/>
  </r>
  <r>
    <n v="1144"/>
    <s v="2023-08-16"/>
    <x v="3"/>
    <s v="Goa"/>
    <x v="0"/>
    <s v="Monitor"/>
    <s v="Samsung Curved"/>
    <n v="6"/>
    <n v="10360"/>
    <n v="0.15"/>
    <s v="B2B"/>
    <x v="2"/>
    <n v="62160"/>
    <n v="9324"/>
    <n v="52836"/>
    <x v="3"/>
  </r>
  <r>
    <n v="1145"/>
    <s v="2023-07-08"/>
    <x v="1"/>
    <s v="UP"/>
    <x v="3"/>
    <s v="Shirt"/>
    <s v="Formal Shirt"/>
    <n v="4"/>
    <n v="48200"/>
    <n v="0.2"/>
    <s v="B2C"/>
    <x v="2"/>
    <n v="192800"/>
    <n v="38560"/>
    <n v="154240"/>
    <x v="4"/>
  </r>
  <r>
    <n v="1146"/>
    <s v="2023-12-28"/>
    <x v="3"/>
    <s v="Maharashtra"/>
    <x v="0"/>
    <s v="Headphones"/>
    <s v="Sony WH-1000XM4"/>
    <n v="5"/>
    <n v="10817"/>
    <n v="0.03"/>
    <s v="B2B"/>
    <x v="4"/>
    <n v="54085"/>
    <n v="1622.55"/>
    <n v="52462.45"/>
    <x v="2"/>
  </r>
  <r>
    <n v="1147"/>
    <s v="2023-05-20"/>
    <x v="0"/>
    <s v="West Bengal"/>
    <x v="2"/>
    <s v="Milk"/>
    <s v="Cow Milk"/>
    <n v="1"/>
    <n v="21980"/>
    <n v="0.13"/>
    <s v="B2C"/>
    <x v="1"/>
    <n v="21980"/>
    <n v="2857.4"/>
    <n v="19122.599999999999"/>
    <x v="9"/>
  </r>
  <r>
    <n v="1148"/>
    <s v="2023-06-18"/>
    <x v="1"/>
    <s v="Haryana"/>
    <x v="2"/>
    <s v="Oil"/>
    <s v="Sunflower Oil"/>
    <n v="2"/>
    <n v="32136"/>
    <n v="0.04"/>
    <s v="B2C"/>
    <x v="2"/>
    <n v="64272"/>
    <n v="2570.88"/>
    <n v="61701.120000000003"/>
    <x v="1"/>
  </r>
  <r>
    <n v="1149"/>
    <s v="2023-11-30"/>
    <x v="3"/>
    <s v="Rajasthan"/>
    <x v="3"/>
    <s v="Jacket"/>
    <s v="Hooded Jacket"/>
    <n v="3"/>
    <n v="37470"/>
    <n v="0.19"/>
    <s v="B2B"/>
    <x v="5"/>
    <n v="112410"/>
    <n v="21357.9"/>
    <n v="91052.1"/>
    <x v="10"/>
  </r>
  <r>
    <n v="1150"/>
    <s v="2023-04-06"/>
    <x v="0"/>
    <s v="Odisha"/>
    <x v="3"/>
    <s v="Shirt"/>
    <s v="Casual Shirt"/>
    <n v="1"/>
    <n v="13796"/>
    <n v="0.04"/>
    <s v="B2C"/>
    <x v="0"/>
    <n v="13796"/>
    <n v="551.84"/>
    <n v="13244.16"/>
    <x v="0"/>
  </r>
  <r>
    <n v="1151"/>
    <s v="2023-01-12"/>
    <x v="1"/>
    <s v="Delhi"/>
    <x v="3"/>
    <s v="Jacket"/>
    <s v="Windcheater"/>
    <n v="2"/>
    <n v="12446"/>
    <n v="0.11"/>
    <s v="B2B"/>
    <x v="5"/>
    <n v="24892"/>
    <n v="2738.12"/>
    <n v="22153.88"/>
    <x v="5"/>
  </r>
  <r>
    <n v="1152"/>
    <s v="2023-06-25"/>
    <x v="0"/>
    <s v="Odisha"/>
    <x v="3"/>
    <s v="Jeans"/>
    <s v="Stretch Fit"/>
    <n v="7"/>
    <n v="17303"/>
    <n v="0.1"/>
    <s v="B2C"/>
    <x v="3"/>
    <n v="121121"/>
    <n v="12112.1"/>
    <n v="109008.9"/>
    <x v="1"/>
  </r>
  <r>
    <n v="1153"/>
    <s v="2023-06-04"/>
    <x v="1"/>
    <s v="Punjab"/>
    <x v="3"/>
    <s v="Jeans"/>
    <s v="Regular Fit"/>
    <n v="1"/>
    <n v="15192"/>
    <n v="0.1"/>
    <s v="B2B"/>
    <x v="3"/>
    <n v="15192"/>
    <n v="1519.2"/>
    <n v="13672.8"/>
    <x v="1"/>
  </r>
  <r>
    <n v="1154"/>
    <s v="2023-05-15"/>
    <x v="2"/>
    <s v="Telangana"/>
    <x v="3"/>
    <s v="Jacket"/>
    <s v="Hooded Jacket"/>
    <n v="9"/>
    <n v="22046"/>
    <n v="0.02"/>
    <s v="B2C"/>
    <x v="1"/>
    <n v="198414"/>
    <n v="3968.28"/>
    <n v="194445.72"/>
    <x v="9"/>
  </r>
  <r>
    <n v="1155"/>
    <s v="2023-07-31"/>
    <x v="2"/>
    <s v="Kerala"/>
    <x v="3"/>
    <s v="T-Shirt"/>
    <s v="Sports Tee"/>
    <n v="10"/>
    <n v="13866"/>
    <n v="0.18"/>
    <s v="B2B"/>
    <x v="1"/>
    <n v="138660"/>
    <n v="24958.799999999999"/>
    <n v="113701.2"/>
    <x v="4"/>
  </r>
  <r>
    <n v="1156"/>
    <s v="2023-11-29"/>
    <x v="0"/>
    <s v="Bihar"/>
    <x v="0"/>
    <s v="Headphones"/>
    <s v="Sony WH-1000XM4"/>
    <n v="3"/>
    <n v="42716"/>
    <n v="0.04"/>
    <s v="B2C"/>
    <x v="5"/>
    <n v="128148"/>
    <n v="5125.92"/>
    <n v="123022.08"/>
    <x v="10"/>
  </r>
  <r>
    <n v="1157"/>
    <s v="2023-05-27"/>
    <x v="3"/>
    <s v="Rajasthan"/>
    <x v="3"/>
    <s v="Jeans"/>
    <s v="Slim Fit"/>
    <n v="3"/>
    <n v="18391"/>
    <n v="0.2"/>
    <s v="B2B"/>
    <x v="6"/>
    <n v="55173"/>
    <n v="11034.6"/>
    <n v="44138.400000000001"/>
    <x v="9"/>
  </r>
  <r>
    <n v="1158"/>
    <s v="2023-01-25"/>
    <x v="0"/>
    <s v="West Bengal"/>
    <x v="1"/>
    <s v="Chair"/>
    <s v="Ergo Chair"/>
    <n v="3"/>
    <n v="24944"/>
    <n v="0.12"/>
    <s v="B2B"/>
    <x v="0"/>
    <n v="74832"/>
    <n v="8979.84"/>
    <n v="65852.160000000003"/>
    <x v="5"/>
  </r>
  <r>
    <n v="1159"/>
    <s v="2023-07-24"/>
    <x v="1"/>
    <s v="Haryana"/>
    <x v="1"/>
    <s v="Table"/>
    <s v="Dining Table"/>
    <n v="7"/>
    <n v="38621"/>
    <n v="0.19"/>
    <s v="B2B"/>
    <x v="2"/>
    <n v="270347"/>
    <n v="51365.93"/>
    <n v="218981.07"/>
    <x v="4"/>
  </r>
  <r>
    <n v="1160"/>
    <s v="2023-03-08"/>
    <x v="3"/>
    <s v="Gujarat"/>
    <x v="0"/>
    <s v="Laptop"/>
    <s v="HP Pavilion"/>
    <n v="7"/>
    <n v="14633"/>
    <n v="0.15"/>
    <s v="B2B"/>
    <x v="2"/>
    <n v="102431"/>
    <n v="15364.65"/>
    <n v="87066.35"/>
    <x v="8"/>
  </r>
  <r>
    <n v="1161"/>
    <s v="2023-11-13"/>
    <x v="2"/>
    <s v="Tamil Nadu"/>
    <x v="3"/>
    <s v="Shirt"/>
    <s v="Linen Shirt"/>
    <n v="2"/>
    <n v="12959"/>
    <n v="0.01"/>
    <s v="B2B"/>
    <x v="3"/>
    <n v="25918"/>
    <n v="259.18"/>
    <n v="25658.82"/>
    <x v="10"/>
  </r>
  <r>
    <n v="1162"/>
    <s v="2023-01-01"/>
    <x v="3"/>
    <s v="Rajasthan"/>
    <x v="3"/>
    <s v="Jacket"/>
    <s v="Leather Jacket"/>
    <n v="8"/>
    <n v="31878"/>
    <n v="0.18"/>
    <s v="B2C"/>
    <x v="3"/>
    <n v="255024"/>
    <n v="45904.32"/>
    <n v="209119.68"/>
    <x v="5"/>
  </r>
  <r>
    <n v="1163"/>
    <s v="2023-02-16"/>
    <x v="3"/>
    <s v="Maharashtra"/>
    <x v="1"/>
    <s v="Sofa"/>
    <s v="Fabric Sofa"/>
    <n v="10"/>
    <n v="48632"/>
    <n v="0.09"/>
    <s v="B2B"/>
    <x v="5"/>
    <n v="486320"/>
    <n v="43768.799999999996"/>
    <n v="442551.2"/>
    <x v="6"/>
  </r>
  <r>
    <n v="1164"/>
    <s v="2023-10-11"/>
    <x v="1"/>
    <s v="Haryana"/>
    <x v="1"/>
    <s v="Table"/>
    <s v="Coffee Table"/>
    <n v="9"/>
    <n v="9040"/>
    <n v="0.04"/>
    <s v="B2C"/>
    <x v="1"/>
    <n v="81360"/>
    <n v="3254.4"/>
    <n v="78105.600000000006"/>
    <x v="11"/>
  </r>
  <r>
    <n v="1165"/>
    <s v="2023-07-16"/>
    <x v="0"/>
    <s v="Bihar"/>
    <x v="0"/>
    <s v="Mobile"/>
    <s v="Samsung S21"/>
    <n v="1"/>
    <n v="43890"/>
    <n v="0.2"/>
    <s v="B2C"/>
    <x v="2"/>
    <n v="43890"/>
    <n v="8778"/>
    <n v="35112"/>
    <x v="4"/>
  </r>
  <r>
    <n v="1166"/>
    <s v="2023-12-10"/>
    <x v="2"/>
    <s v="Karnataka"/>
    <x v="0"/>
    <s v="Mobile"/>
    <s v="Redmi Note 12"/>
    <n v="6"/>
    <n v="1457"/>
    <n v="0.14000000000000001"/>
    <s v="B2C"/>
    <x v="1"/>
    <n v="8742"/>
    <n v="1223.8800000000001"/>
    <n v="7518.12"/>
    <x v="2"/>
  </r>
  <r>
    <n v="1167"/>
    <s v="2023-11-13"/>
    <x v="3"/>
    <s v="Gujarat"/>
    <x v="0"/>
    <s v="Monitor"/>
    <s v="Samsung Curved"/>
    <n v="4"/>
    <n v="2250"/>
    <n v="0.03"/>
    <s v="B2C"/>
    <x v="4"/>
    <n v="9000"/>
    <n v="270"/>
    <n v="8730"/>
    <x v="10"/>
  </r>
  <r>
    <n v="1168"/>
    <s v="2023-03-13"/>
    <x v="3"/>
    <s v="Gujarat"/>
    <x v="1"/>
    <s v="Sofa"/>
    <s v="Fabric Sofa"/>
    <n v="6"/>
    <n v="34396"/>
    <n v="0.11"/>
    <s v="B2C"/>
    <x v="4"/>
    <n v="206376"/>
    <n v="22701.360000000001"/>
    <n v="183674.64"/>
    <x v="8"/>
  </r>
  <r>
    <n v="1169"/>
    <s v="2023-09-20"/>
    <x v="0"/>
    <s v="Bihar"/>
    <x v="3"/>
    <s v="T-Shirt"/>
    <s v="Cotton Tee"/>
    <n v="9"/>
    <n v="5209"/>
    <n v="0.18"/>
    <s v="B2C"/>
    <x v="0"/>
    <n v="46881"/>
    <n v="8438.58"/>
    <n v="38442.42"/>
    <x v="7"/>
  </r>
  <r>
    <n v="1170"/>
    <s v="2023-11-26"/>
    <x v="1"/>
    <s v="UP"/>
    <x v="1"/>
    <s v="Chair"/>
    <s v="Office Chair Pro"/>
    <n v="9"/>
    <n v="19599"/>
    <n v="0.18"/>
    <s v="B2B"/>
    <x v="3"/>
    <n v="176391"/>
    <n v="31750.379999999997"/>
    <n v="144640.62"/>
    <x v="10"/>
  </r>
  <r>
    <n v="1171"/>
    <s v="2023-09-17"/>
    <x v="3"/>
    <s v="Rajasthan"/>
    <x v="0"/>
    <s v="Laptop"/>
    <s v="Acer Aspire 5"/>
    <n v="5"/>
    <n v="15421"/>
    <n v="0.12"/>
    <s v="B2C"/>
    <x v="0"/>
    <n v="77105"/>
    <n v="9252.6"/>
    <n v="67852.399999999994"/>
    <x v="7"/>
  </r>
  <r>
    <n v="1172"/>
    <s v="2023-06-05"/>
    <x v="3"/>
    <s v="Goa"/>
    <x v="2"/>
    <s v="Milk"/>
    <s v="Full Cream Milk"/>
    <n v="6"/>
    <n v="22509"/>
    <n v="0.08"/>
    <s v="B2B"/>
    <x v="4"/>
    <n v="135054"/>
    <n v="10804.32"/>
    <n v="124249.68"/>
    <x v="1"/>
  </r>
  <r>
    <n v="1173"/>
    <s v="2023-10-12"/>
    <x v="2"/>
    <s v="Karnataka"/>
    <x v="3"/>
    <s v="T-Shirt"/>
    <s v="Sports Tee"/>
    <n v="8"/>
    <n v="38709"/>
    <n v="0.04"/>
    <s v="B2B"/>
    <x v="0"/>
    <n v="309672"/>
    <n v="12386.880000000001"/>
    <n v="297285.12"/>
    <x v="11"/>
  </r>
  <r>
    <n v="1174"/>
    <s v="2023-01-03"/>
    <x v="1"/>
    <s v="Haryana"/>
    <x v="2"/>
    <s v="Rice"/>
    <s v="Basmati Rice"/>
    <n v="10"/>
    <n v="34366"/>
    <n v="0.16"/>
    <s v="B2B"/>
    <x v="7"/>
    <n v="343660"/>
    <n v="54985.599999999999"/>
    <n v="288674.40000000002"/>
    <x v="5"/>
  </r>
  <r>
    <n v="1175"/>
    <s v="2023-10-03"/>
    <x v="0"/>
    <s v="Bihar"/>
    <x v="3"/>
    <s v="Jacket"/>
    <s v="Hooded Jacket"/>
    <n v="2"/>
    <n v="25509"/>
    <n v="0.02"/>
    <s v="B2C"/>
    <x v="3"/>
    <n v="51018"/>
    <n v="1020.36"/>
    <n v="49997.64"/>
    <x v="11"/>
  </r>
  <r>
    <n v="1176"/>
    <s v="2023-12-15"/>
    <x v="1"/>
    <s v="Punjab"/>
    <x v="3"/>
    <s v="Shirt"/>
    <s v="Formal Shirt"/>
    <n v="10"/>
    <n v="17752"/>
    <n v="0.02"/>
    <s v="B2C"/>
    <x v="3"/>
    <n v="177520"/>
    <n v="3550.4"/>
    <n v="173969.6"/>
    <x v="2"/>
  </r>
  <r>
    <n v="1177"/>
    <s v="2023-12-19"/>
    <x v="0"/>
    <s v="West Bengal"/>
    <x v="2"/>
    <s v="Snacks"/>
    <s v="Biscuits"/>
    <n v="6"/>
    <n v="15623"/>
    <n v="7.0000000000000007E-2"/>
    <s v="B2C"/>
    <x v="5"/>
    <n v="93738"/>
    <n v="6561.6600000000008"/>
    <n v="87176.34"/>
    <x v="2"/>
  </r>
  <r>
    <n v="1178"/>
    <s v="2023-03-23"/>
    <x v="3"/>
    <s v="Goa"/>
    <x v="2"/>
    <s v="Milk"/>
    <s v="Cow Milk"/>
    <n v="1"/>
    <n v="32685"/>
    <n v="0.09"/>
    <s v="B2C"/>
    <x v="0"/>
    <n v="32685"/>
    <n v="2941.65"/>
    <n v="29743.35"/>
    <x v="8"/>
  </r>
  <r>
    <n v="1179"/>
    <s v="2023-11-13"/>
    <x v="2"/>
    <s v="Kerala"/>
    <x v="3"/>
    <s v="Jeans"/>
    <s v="Slim Fit"/>
    <n v="4"/>
    <n v="9686"/>
    <n v="0.12"/>
    <s v="B2C"/>
    <x v="7"/>
    <n v="38744"/>
    <n v="4649.28"/>
    <n v="34094.720000000001"/>
    <x v="10"/>
  </r>
  <r>
    <n v="1180"/>
    <s v="2023-05-04"/>
    <x v="2"/>
    <s v="Karnataka"/>
    <x v="2"/>
    <s v="Oil"/>
    <s v="Olive Oil"/>
    <n v="9"/>
    <n v="33987"/>
    <n v="0.09"/>
    <s v="B2B"/>
    <x v="5"/>
    <n v="305883"/>
    <n v="27529.469999999998"/>
    <n v="278353.53000000003"/>
    <x v="9"/>
  </r>
  <r>
    <n v="1181"/>
    <s v="2023-05-03"/>
    <x v="1"/>
    <s v="Haryana"/>
    <x v="0"/>
    <s v="Laptop"/>
    <s v="Dell Inspiron"/>
    <n v="1"/>
    <n v="1413"/>
    <n v="0.06"/>
    <s v="B2C"/>
    <x v="2"/>
    <n v="1413"/>
    <n v="84.78"/>
    <n v="1328.22"/>
    <x v="9"/>
  </r>
  <r>
    <n v="1182"/>
    <s v="2023-09-19"/>
    <x v="3"/>
    <s v="Rajasthan"/>
    <x v="2"/>
    <s v="Oil"/>
    <s v="Olive Oil"/>
    <n v="7"/>
    <n v="20994"/>
    <n v="0.17"/>
    <s v="B2B"/>
    <x v="0"/>
    <n v="146958"/>
    <n v="24982.86"/>
    <n v="121975.14"/>
    <x v="7"/>
  </r>
  <r>
    <n v="1183"/>
    <s v="2023-05-19"/>
    <x v="0"/>
    <s v="Odisha"/>
    <x v="3"/>
    <s v="T-Shirt"/>
    <s v="Sports Tee"/>
    <n v="7"/>
    <n v="26427"/>
    <n v="0.11"/>
    <s v="B2B"/>
    <x v="0"/>
    <n v="184989"/>
    <n v="20348.79"/>
    <n v="164640.21"/>
    <x v="9"/>
  </r>
  <r>
    <n v="1184"/>
    <s v="2023-06-10"/>
    <x v="1"/>
    <s v="Delhi"/>
    <x v="1"/>
    <s v="Sofa"/>
    <s v="3-Seater Sofa"/>
    <n v="5"/>
    <n v="27705"/>
    <n v="0"/>
    <s v="B2B"/>
    <x v="1"/>
    <n v="138525"/>
    <n v="0"/>
    <n v="138525"/>
    <x v="1"/>
  </r>
  <r>
    <n v="1185"/>
    <s v="2023-03-08"/>
    <x v="3"/>
    <s v="Rajasthan"/>
    <x v="1"/>
    <s v="Sofa"/>
    <s v="3-Seater Sofa"/>
    <n v="1"/>
    <n v="1050"/>
    <n v="0.08"/>
    <s v="B2C"/>
    <x v="3"/>
    <n v="1050"/>
    <n v="84"/>
    <n v="966"/>
    <x v="8"/>
  </r>
  <r>
    <n v="1186"/>
    <s v="2023-08-06"/>
    <x v="2"/>
    <s v="Kerala"/>
    <x v="3"/>
    <s v="Shirt"/>
    <s v="Linen Shirt"/>
    <n v="6"/>
    <n v="41673"/>
    <n v="0.01"/>
    <s v="B2C"/>
    <x v="4"/>
    <n v="250038"/>
    <n v="2500.38"/>
    <n v="247537.62"/>
    <x v="3"/>
  </r>
  <r>
    <n v="1187"/>
    <s v="2023-03-01"/>
    <x v="1"/>
    <s v="UP"/>
    <x v="2"/>
    <s v="Snacks"/>
    <s v="Nachos"/>
    <n v="9"/>
    <n v="37083"/>
    <n v="0.04"/>
    <s v="B2B"/>
    <x v="7"/>
    <n v="333747"/>
    <n v="13349.880000000001"/>
    <n v="320397.12"/>
    <x v="8"/>
  </r>
  <r>
    <n v="1188"/>
    <s v="2023-06-02"/>
    <x v="0"/>
    <s v="West Bengal"/>
    <x v="0"/>
    <s v="Laptop"/>
    <s v="Dell Inspiron"/>
    <n v="6"/>
    <n v="20936"/>
    <n v="7.0000000000000007E-2"/>
    <s v="B2C"/>
    <x v="6"/>
    <n v="125616"/>
    <n v="8793.1200000000008"/>
    <n v="116822.88"/>
    <x v="1"/>
  </r>
  <r>
    <n v="1189"/>
    <s v="2023-12-14"/>
    <x v="2"/>
    <s v="Tamil Nadu"/>
    <x v="1"/>
    <s v="Chair"/>
    <s v="Ergo Chair"/>
    <n v="1"/>
    <n v="676"/>
    <n v="0"/>
    <s v="B2C"/>
    <x v="4"/>
    <n v="676"/>
    <n v="0"/>
    <n v="676"/>
    <x v="2"/>
  </r>
  <r>
    <n v="1190"/>
    <s v="2023-10-29"/>
    <x v="3"/>
    <s v="Gujarat"/>
    <x v="2"/>
    <s v="Oil"/>
    <s v="Sunflower Oil"/>
    <n v="2"/>
    <n v="47109"/>
    <n v="0.15"/>
    <s v="B2C"/>
    <x v="7"/>
    <n v="94218"/>
    <n v="14132.699999999999"/>
    <n v="80085.3"/>
    <x v="11"/>
  </r>
  <r>
    <n v="1191"/>
    <s v="2023-02-08"/>
    <x v="0"/>
    <s v="Odisha"/>
    <x v="3"/>
    <s v="Jacket"/>
    <s v="Windcheater"/>
    <n v="7"/>
    <n v="17133"/>
    <n v="0.06"/>
    <s v="B2C"/>
    <x v="3"/>
    <n v="119931"/>
    <n v="7195.86"/>
    <n v="112735.14"/>
    <x v="6"/>
  </r>
  <r>
    <n v="1192"/>
    <s v="2023-06-26"/>
    <x v="3"/>
    <s v="Gujarat"/>
    <x v="1"/>
    <s v="Chair"/>
    <s v="Wooden Chair"/>
    <n v="5"/>
    <n v="17004"/>
    <n v="0.05"/>
    <s v="B2C"/>
    <x v="6"/>
    <n v="85020"/>
    <n v="4251"/>
    <n v="80769"/>
    <x v="1"/>
  </r>
  <r>
    <n v="1193"/>
    <s v="2023-07-04"/>
    <x v="3"/>
    <s v="Rajasthan"/>
    <x v="3"/>
    <s v="Shirt"/>
    <s v="Casual Shirt"/>
    <n v="8"/>
    <n v="39371"/>
    <n v="0.18"/>
    <s v="B2B"/>
    <x v="5"/>
    <n v="314968"/>
    <n v="56694.239999999998"/>
    <n v="258273.76"/>
    <x v="4"/>
  </r>
  <r>
    <n v="1194"/>
    <s v="2023-05-06"/>
    <x v="3"/>
    <s v="Rajasthan"/>
    <x v="1"/>
    <s v="Sofa"/>
    <s v="Fabric Sofa"/>
    <n v="1"/>
    <n v="29158"/>
    <n v="0.11"/>
    <s v="B2B"/>
    <x v="2"/>
    <n v="29158"/>
    <n v="3207.38"/>
    <n v="25950.62"/>
    <x v="9"/>
  </r>
  <r>
    <n v="1195"/>
    <s v="2023-06-12"/>
    <x v="0"/>
    <s v="Assam"/>
    <x v="3"/>
    <s v="Jeans"/>
    <s v="Slim Fit"/>
    <n v="3"/>
    <n v="3114"/>
    <n v="0.15"/>
    <s v="B2B"/>
    <x v="6"/>
    <n v="9342"/>
    <n v="1401.3"/>
    <n v="7940.7"/>
    <x v="1"/>
  </r>
  <r>
    <n v="1196"/>
    <s v="2023-10-09"/>
    <x v="1"/>
    <s v="Haryana"/>
    <x v="2"/>
    <s v="Oil"/>
    <s v="Sunflower Oil"/>
    <n v="10"/>
    <n v="26511"/>
    <n v="0.05"/>
    <s v="B2C"/>
    <x v="6"/>
    <n v="265110"/>
    <n v="13255.5"/>
    <n v="251854.5"/>
    <x v="11"/>
  </r>
  <r>
    <n v="1197"/>
    <s v="2023-11-06"/>
    <x v="2"/>
    <s v="Karnataka"/>
    <x v="3"/>
    <s v="Jacket"/>
    <s v="Hooded Jacket"/>
    <n v="8"/>
    <n v="44501"/>
    <n v="0.19"/>
    <s v="B2C"/>
    <x v="7"/>
    <n v="356008"/>
    <n v="67641.52"/>
    <n v="288366.48"/>
    <x v="10"/>
  </r>
  <r>
    <n v="1198"/>
    <s v="2023-08-31"/>
    <x v="2"/>
    <s v="Karnataka"/>
    <x v="3"/>
    <s v="Jacket"/>
    <s v="Hooded Jacket"/>
    <n v="4"/>
    <n v="14660"/>
    <n v="0.04"/>
    <s v="B2B"/>
    <x v="6"/>
    <n v="58640"/>
    <n v="2345.6"/>
    <n v="56294.400000000001"/>
    <x v="3"/>
  </r>
  <r>
    <n v="1199"/>
    <s v="2023-05-29"/>
    <x v="3"/>
    <s v="Maharashtra"/>
    <x v="0"/>
    <s v="Monitor"/>
    <s v="LG UltraWide"/>
    <n v="5"/>
    <n v="21924"/>
    <n v="0.17"/>
    <s v="B2C"/>
    <x v="2"/>
    <n v="109620"/>
    <n v="18635.400000000001"/>
    <n v="90984.6"/>
    <x v="9"/>
  </r>
  <r>
    <n v="1200"/>
    <s v="2023-08-20"/>
    <x v="3"/>
    <s v="Gujarat"/>
    <x v="3"/>
    <s v="Jacket"/>
    <s v="Leather Jacket"/>
    <n v="7"/>
    <n v="43886"/>
    <n v="7.0000000000000007E-2"/>
    <s v="B2B"/>
    <x v="7"/>
    <n v="307202"/>
    <n v="21504.140000000003"/>
    <n v="285697.86"/>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2023-04-09"/>
    <x v="0"/>
    <x v="0"/>
    <x v="0"/>
    <s v="Monitor"/>
    <s v="LG UltraWide"/>
    <n v="9"/>
    <n v="32905"/>
    <n v="7.0000000000000007E-2"/>
    <x v="0"/>
    <x v="0"/>
    <n v="296145"/>
    <n v="20730.150000000001"/>
    <n v="275414.84999999998"/>
  </r>
  <r>
    <x v="1"/>
    <s v="2023-06-02"/>
    <x v="1"/>
    <x v="1"/>
    <x v="1"/>
    <s v="Chair"/>
    <s v="Ergo Chair"/>
    <n v="9"/>
    <n v="40330"/>
    <n v="0.04"/>
    <x v="0"/>
    <x v="1"/>
    <n v="362970"/>
    <n v="14518.800000000001"/>
    <n v="348451.2"/>
  </r>
  <r>
    <x v="2"/>
    <s v="2023-12-05"/>
    <x v="2"/>
    <x v="2"/>
    <x v="2"/>
    <s v="Milk"/>
    <s v="Toned Milk"/>
    <n v="2"/>
    <n v="46305"/>
    <n v="0.1"/>
    <x v="1"/>
    <x v="2"/>
    <n v="92610"/>
    <n v="9261"/>
    <n v="83349"/>
  </r>
  <r>
    <x v="3"/>
    <s v="2023-08-06"/>
    <x v="2"/>
    <x v="3"/>
    <x v="1"/>
    <s v="Shelf"/>
    <s v="Wall Shelf"/>
    <n v="8"/>
    <n v="32683"/>
    <n v="0.03"/>
    <x v="0"/>
    <x v="3"/>
    <n v="261464"/>
    <n v="7843.92"/>
    <n v="253620.08"/>
  </r>
  <r>
    <x v="4"/>
    <s v="2023-08-22"/>
    <x v="1"/>
    <x v="1"/>
    <x v="3"/>
    <s v="T-Shirt"/>
    <s v="Cotton Tee"/>
    <n v="8"/>
    <n v="30507"/>
    <n v="0.18"/>
    <x v="1"/>
    <x v="4"/>
    <n v="244056"/>
    <n v="43930.080000000002"/>
    <n v="200125.91999999998"/>
  </r>
  <r>
    <x v="5"/>
    <s v="2023-08-01"/>
    <x v="2"/>
    <x v="4"/>
    <x v="3"/>
    <s v="Jacket"/>
    <s v="Leather Jacket"/>
    <n v="6"/>
    <n v="23778"/>
    <n v="0.2"/>
    <x v="0"/>
    <x v="4"/>
    <n v="142668"/>
    <n v="28533.600000000002"/>
    <n v="114134.39999999999"/>
  </r>
  <r>
    <x v="6"/>
    <s v="2023-07-13"/>
    <x v="2"/>
    <x v="3"/>
    <x v="0"/>
    <s v="Laptop"/>
    <s v="Acer Aspire 5"/>
    <n v="4"/>
    <n v="20486"/>
    <n v="0"/>
    <x v="1"/>
    <x v="2"/>
    <n v="81944"/>
    <n v="0"/>
    <n v="81944"/>
  </r>
  <r>
    <x v="7"/>
    <s v="2023-12-27"/>
    <x v="0"/>
    <x v="0"/>
    <x v="0"/>
    <s v="Monitor"/>
    <s v="Dell 24-inch"/>
    <n v="8"/>
    <n v="2388"/>
    <n v="0.11"/>
    <x v="1"/>
    <x v="3"/>
    <n v="19104"/>
    <n v="2101.44"/>
    <n v="17002.560000000001"/>
  </r>
  <r>
    <x v="8"/>
    <s v="2023-06-10"/>
    <x v="2"/>
    <x v="3"/>
    <x v="2"/>
    <s v="Rice"/>
    <s v="Brown Rice"/>
    <n v="3"/>
    <n v="25286"/>
    <n v="0.04"/>
    <x v="1"/>
    <x v="3"/>
    <n v="75858"/>
    <n v="3034.32"/>
    <n v="72823.679999999993"/>
  </r>
  <r>
    <x v="9"/>
    <s v="2023-01-07"/>
    <x v="2"/>
    <x v="5"/>
    <x v="3"/>
    <s v="T-Shirt"/>
    <s v="Cotton Tee"/>
    <n v="1"/>
    <n v="45849"/>
    <n v="0.11"/>
    <x v="1"/>
    <x v="2"/>
    <n v="45849"/>
    <n v="5043.3900000000003"/>
    <n v="40805.61"/>
  </r>
  <r>
    <x v="10"/>
    <s v="2023-02-19"/>
    <x v="1"/>
    <x v="6"/>
    <x v="2"/>
    <s v="Snacks"/>
    <s v="Nachos"/>
    <n v="7"/>
    <n v="29584"/>
    <n v="0.02"/>
    <x v="0"/>
    <x v="5"/>
    <n v="207088"/>
    <n v="4141.76"/>
    <n v="202946.24"/>
  </r>
  <r>
    <x v="11"/>
    <s v="2023-12-10"/>
    <x v="2"/>
    <x v="5"/>
    <x v="2"/>
    <s v="Snacks"/>
    <s v="Nachos"/>
    <n v="9"/>
    <n v="1513"/>
    <n v="0.18"/>
    <x v="0"/>
    <x v="0"/>
    <n v="13617"/>
    <n v="2451.06"/>
    <n v="11165.94"/>
  </r>
  <r>
    <x v="12"/>
    <s v="2023-06-09"/>
    <x v="1"/>
    <x v="6"/>
    <x v="2"/>
    <s v="Oil"/>
    <s v="Mustard Oil"/>
    <n v="3"/>
    <n v="34587"/>
    <n v="0.11"/>
    <x v="1"/>
    <x v="4"/>
    <n v="103761"/>
    <n v="11413.710000000001"/>
    <n v="92347.29"/>
  </r>
  <r>
    <x v="13"/>
    <s v="2023-04-22"/>
    <x v="3"/>
    <x v="7"/>
    <x v="2"/>
    <s v="Snacks"/>
    <s v="Nachos"/>
    <n v="2"/>
    <n v="32834"/>
    <n v="0.03"/>
    <x v="1"/>
    <x v="1"/>
    <n v="65668"/>
    <n v="1970.04"/>
    <n v="63697.96"/>
  </r>
  <r>
    <x v="14"/>
    <s v="2023-07-19"/>
    <x v="3"/>
    <x v="8"/>
    <x v="0"/>
    <s v="Monitor"/>
    <s v="Dell 24-inch"/>
    <n v="1"/>
    <n v="26572"/>
    <n v="0.02"/>
    <x v="0"/>
    <x v="6"/>
    <n v="26572"/>
    <n v="531.44000000000005"/>
    <n v="26040.560000000001"/>
  </r>
  <r>
    <x v="15"/>
    <s v="2023-07-09"/>
    <x v="3"/>
    <x v="9"/>
    <x v="3"/>
    <s v="Shirt"/>
    <s v="Linen Shirt"/>
    <n v="8"/>
    <n v="19749"/>
    <n v="0.12"/>
    <x v="1"/>
    <x v="5"/>
    <n v="157992"/>
    <n v="18959.04"/>
    <n v="139032.95999999999"/>
  </r>
  <r>
    <x v="16"/>
    <s v="2023-07-26"/>
    <x v="2"/>
    <x v="4"/>
    <x v="2"/>
    <s v="Snacks"/>
    <s v="Nachos"/>
    <n v="7"/>
    <n v="3906"/>
    <n v="0.12"/>
    <x v="1"/>
    <x v="5"/>
    <n v="27342"/>
    <n v="3281.04"/>
    <n v="24060.959999999999"/>
  </r>
  <r>
    <x v="17"/>
    <s v="2023-09-22"/>
    <x v="1"/>
    <x v="10"/>
    <x v="2"/>
    <s v="Rice"/>
    <s v="Brown Rice"/>
    <n v="9"/>
    <n v="45609"/>
    <n v="0.04"/>
    <x v="0"/>
    <x v="4"/>
    <n v="410481"/>
    <n v="16419.240000000002"/>
    <n v="394061.76"/>
  </r>
  <r>
    <x v="18"/>
    <s v="2023-09-30"/>
    <x v="0"/>
    <x v="11"/>
    <x v="1"/>
    <s v="Shelf"/>
    <s v="Metal Shelf"/>
    <n v="10"/>
    <n v="4005"/>
    <n v="0.16"/>
    <x v="1"/>
    <x v="1"/>
    <n v="40050"/>
    <n v="6408"/>
    <n v="33642"/>
  </r>
  <r>
    <x v="19"/>
    <s v="2023-04-07"/>
    <x v="3"/>
    <x v="8"/>
    <x v="0"/>
    <s v="Headphones"/>
    <s v="JBL Tune"/>
    <n v="1"/>
    <n v="12018"/>
    <n v="0.19"/>
    <x v="1"/>
    <x v="6"/>
    <n v="12018"/>
    <n v="2283.42"/>
    <n v="9734.58"/>
  </r>
  <r>
    <x v="20"/>
    <s v="2023-03-16"/>
    <x v="2"/>
    <x v="3"/>
    <x v="2"/>
    <s v="Milk"/>
    <s v="Full Cream Milk"/>
    <n v="2"/>
    <n v="31751"/>
    <n v="7.0000000000000007E-2"/>
    <x v="1"/>
    <x v="1"/>
    <n v="63502"/>
    <n v="4445.1400000000003"/>
    <n v="59056.86"/>
  </r>
  <r>
    <x v="21"/>
    <s v="2023-08-16"/>
    <x v="2"/>
    <x v="4"/>
    <x v="3"/>
    <s v="T-Shirt"/>
    <s v="Graphic Tee"/>
    <n v="10"/>
    <n v="4062"/>
    <n v="0.12"/>
    <x v="0"/>
    <x v="1"/>
    <n v="40620"/>
    <n v="4874.3999999999996"/>
    <n v="35745.599999999999"/>
  </r>
  <r>
    <x v="22"/>
    <s v="2023-02-11"/>
    <x v="2"/>
    <x v="5"/>
    <x v="0"/>
    <s v="Monitor"/>
    <s v="LG UltraWide"/>
    <n v="7"/>
    <n v="22038"/>
    <n v="0.04"/>
    <x v="1"/>
    <x v="3"/>
    <n v="154266"/>
    <n v="6170.64"/>
    <n v="148095.35999999999"/>
  </r>
  <r>
    <x v="23"/>
    <s v="2023-08-25"/>
    <x v="0"/>
    <x v="12"/>
    <x v="1"/>
    <s v="Chair"/>
    <s v="Office Chair Pro"/>
    <n v="9"/>
    <n v="9591"/>
    <n v="7.0000000000000007E-2"/>
    <x v="1"/>
    <x v="0"/>
    <n v="86319"/>
    <n v="6042.3300000000008"/>
    <n v="80276.67"/>
  </r>
  <r>
    <x v="24"/>
    <s v="2023-05-17"/>
    <x v="3"/>
    <x v="7"/>
    <x v="2"/>
    <s v="Rice"/>
    <s v="Brown Rice"/>
    <n v="2"/>
    <n v="22073"/>
    <n v="0.06"/>
    <x v="1"/>
    <x v="0"/>
    <n v="44146"/>
    <n v="2648.7599999999998"/>
    <n v="41497.24"/>
  </r>
  <r>
    <x v="25"/>
    <s v="2023-12-23"/>
    <x v="3"/>
    <x v="8"/>
    <x v="1"/>
    <s v="Shelf"/>
    <s v="Metal Shelf"/>
    <n v="1"/>
    <n v="16541"/>
    <n v="0.14000000000000001"/>
    <x v="1"/>
    <x v="6"/>
    <n v="16541"/>
    <n v="2315.7400000000002"/>
    <n v="14225.26"/>
  </r>
  <r>
    <x v="26"/>
    <s v="2023-11-10"/>
    <x v="2"/>
    <x v="4"/>
    <x v="1"/>
    <s v="Chair"/>
    <s v="Wooden Chair"/>
    <n v="1"/>
    <n v="257"/>
    <n v="0.13"/>
    <x v="0"/>
    <x v="3"/>
    <n v="257"/>
    <n v="33.410000000000004"/>
    <n v="223.59"/>
  </r>
  <r>
    <x v="27"/>
    <s v="2023-04-12"/>
    <x v="0"/>
    <x v="0"/>
    <x v="0"/>
    <s v="Mobile"/>
    <s v="iPhone 13"/>
    <n v="7"/>
    <n v="38762"/>
    <n v="0.2"/>
    <x v="1"/>
    <x v="4"/>
    <n v="271334"/>
    <n v="54266.8"/>
    <n v="217067.2"/>
  </r>
  <r>
    <x v="28"/>
    <s v="2023-09-07"/>
    <x v="3"/>
    <x v="8"/>
    <x v="3"/>
    <s v="T-Shirt"/>
    <s v="Cotton Tee"/>
    <n v="10"/>
    <n v="4695"/>
    <n v="0.05"/>
    <x v="1"/>
    <x v="7"/>
    <n v="46950"/>
    <n v="2347.5"/>
    <n v="44602.5"/>
  </r>
  <r>
    <x v="29"/>
    <s v="2023-03-14"/>
    <x v="3"/>
    <x v="8"/>
    <x v="1"/>
    <s v="Shelf"/>
    <s v="Metal Shelf"/>
    <n v="5"/>
    <n v="20339"/>
    <n v="0.09"/>
    <x v="0"/>
    <x v="1"/>
    <n v="101695"/>
    <n v="9152.5499999999993"/>
    <n v="92542.45"/>
  </r>
  <r>
    <x v="30"/>
    <s v="2023-05-12"/>
    <x v="0"/>
    <x v="11"/>
    <x v="3"/>
    <s v="Shirt"/>
    <s v="Casual Shirt"/>
    <n v="7"/>
    <n v="32551"/>
    <n v="0.05"/>
    <x v="1"/>
    <x v="6"/>
    <n v="227857"/>
    <n v="11392.85"/>
    <n v="216464.15"/>
  </r>
  <r>
    <x v="31"/>
    <s v="2023-05-13"/>
    <x v="2"/>
    <x v="4"/>
    <x v="0"/>
    <s v="Monitor"/>
    <s v="Dell 24-inch"/>
    <n v="5"/>
    <n v="13811"/>
    <n v="0.15"/>
    <x v="0"/>
    <x v="5"/>
    <n v="69055"/>
    <n v="10358.25"/>
    <n v="58696.75"/>
  </r>
  <r>
    <x v="32"/>
    <s v="2023-07-24"/>
    <x v="0"/>
    <x v="11"/>
    <x v="2"/>
    <s v="Milk"/>
    <s v="Cow Milk"/>
    <n v="10"/>
    <n v="27338"/>
    <n v="0.14000000000000001"/>
    <x v="1"/>
    <x v="3"/>
    <n v="273380"/>
    <n v="38273.200000000004"/>
    <n v="235106.8"/>
  </r>
  <r>
    <x v="33"/>
    <s v="2023-01-02"/>
    <x v="3"/>
    <x v="13"/>
    <x v="2"/>
    <s v="Rice"/>
    <s v="Basmati Rice"/>
    <n v="5"/>
    <n v="26796"/>
    <n v="0.03"/>
    <x v="0"/>
    <x v="6"/>
    <n v="133980"/>
    <n v="4019.3999999999996"/>
    <n v="129960.6"/>
  </r>
  <r>
    <x v="34"/>
    <s v="2023-02-14"/>
    <x v="1"/>
    <x v="14"/>
    <x v="3"/>
    <s v="Jeans"/>
    <s v="Slim Fit"/>
    <n v="5"/>
    <n v="42606"/>
    <n v="0.04"/>
    <x v="1"/>
    <x v="7"/>
    <n v="213030"/>
    <n v="8521.2000000000007"/>
    <n v="204508.79999999999"/>
  </r>
  <r>
    <x v="35"/>
    <s v="2023-05-28"/>
    <x v="2"/>
    <x v="4"/>
    <x v="0"/>
    <s v="Headphones"/>
    <s v="Sony WH-1000XM4"/>
    <n v="4"/>
    <n v="24249"/>
    <n v="0.19"/>
    <x v="1"/>
    <x v="1"/>
    <n v="96996"/>
    <n v="18429.240000000002"/>
    <n v="78566.759999999995"/>
  </r>
  <r>
    <x v="36"/>
    <s v="2023-05-06"/>
    <x v="2"/>
    <x v="3"/>
    <x v="0"/>
    <s v="Laptop"/>
    <s v="HP Pavilion"/>
    <n v="7"/>
    <n v="11215"/>
    <n v="0.16"/>
    <x v="0"/>
    <x v="7"/>
    <n v="78505"/>
    <n v="12560.800000000001"/>
    <n v="65944.2"/>
  </r>
  <r>
    <x v="37"/>
    <s v="2023-07-30"/>
    <x v="2"/>
    <x v="2"/>
    <x v="3"/>
    <s v="Jeans"/>
    <s v="Slim Fit"/>
    <n v="8"/>
    <n v="43581"/>
    <n v="0.1"/>
    <x v="1"/>
    <x v="1"/>
    <n v="348648"/>
    <n v="34864.800000000003"/>
    <n v="313783.2"/>
  </r>
  <r>
    <x v="38"/>
    <s v="2023-05-15"/>
    <x v="2"/>
    <x v="3"/>
    <x v="3"/>
    <s v="Shirt"/>
    <s v="Formal Shirt"/>
    <n v="1"/>
    <n v="13098"/>
    <n v="0.01"/>
    <x v="1"/>
    <x v="1"/>
    <n v="13098"/>
    <n v="130.97999999999999"/>
    <n v="12967.02"/>
  </r>
  <r>
    <x v="39"/>
    <s v="2023-07-10"/>
    <x v="0"/>
    <x v="11"/>
    <x v="1"/>
    <s v="Shelf"/>
    <s v="Metal Shelf"/>
    <n v="7"/>
    <n v="14708"/>
    <n v="0.05"/>
    <x v="1"/>
    <x v="6"/>
    <n v="102956"/>
    <n v="5147.8"/>
    <n v="97808.2"/>
  </r>
  <r>
    <x v="40"/>
    <s v="2023-02-17"/>
    <x v="1"/>
    <x v="10"/>
    <x v="0"/>
    <s v="Laptop"/>
    <s v="Dell Inspiron"/>
    <n v="5"/>
    <n v="22400"/>
    <n v="0.08"/>
    <x v="1"/>
    <x v="7"/>
    <n v="112000"/>
    <n v="8960"/>
    <n v="103040"/>
  </r>
  <r>
    <x v="41"/>
    <s v="2023-07-24"/>
    <x v="2"/>
    <x v="4"/>
    <x v="0"/>
    <s v="Monitor"/>
    <s v="Samsung Curved"/>
    <n v="4"/>
    <n v="33812"/>
    <n v="7.0000000000000007E-2"/>
    <x v="1"/>
    <x v="1"/>
    <n v="135248"/>
    <n v="9467.36"/>
    <n v="125780.64"/>
  </r>
  <r>
    <x v="42"/>
    <s v="2023-07-03"/>
    <x v="0"/>
    <x v="11"/>
    <x v="3"/>
    <s v="Jacket"/>
    <s v="Windcheater"/>
    <n v="9"/>
    <n v="21386"/>
    <n v="0"/>
    <x v="0"/>
    <x v="0"/>
    <n v="192474"/>
    <n v="0"/>
    <n v="192474"/>
  </r>
  <r>
    <x v="43"/>
    <s v="2023-03-11"/>
    <x v="1"/>
    <x v="6"/>
    <x v="1"/>
    <s v="Table"/>
    <s v="Dining Table"/>
    <n v="7"/>
    <n v="17887"/>
    <n v="0.12"/>
    <x v="0"/>
    <x v="3"/>
    <n v="125209"/>
    <n v="15025.08"/>
    <n v="110183.92"/>
  </r>
  <r>
    <x v="44"/>
    <s v="2023-05-03"/>
    <x v="3"/>
    <x v="8"/>
    <x v="3"/>
    <s v="Shirt"/>
    <s v="Linen Shirt"/>
    <n v="1"/>
    <n v="27770"/>
    <n v="0.13"/>
    <x v="0"/>
    <x v="5"/>
    <n v="27770"/>
    <n v="3610.1"/>
    <n v="24159.9"/>
  </r>
  <r>
    <x v="45"/>
    <s v="2023-03-26"/>
    <x v="2"/>
    <x v="4"/>
    <x v="3"/>
    <s v="Jacket"/>
    <s v="Hooded Jacket"/>
    <n v="6"/>
    <n v="29196"/>
    <n v="0.19"/>
    <x v="0"/>
    <x v="5"/>
    <n v="175176"/>
    <n v="33283.440000000002"/>
    <n v="141892.56"/>
  </r>
  <r>
    <x v="46"/>
    <s v="2023-12-04"/>
    <x v="1"/>
    <x v="1"/>
    <x v="0"/>
    <s v="Mobile"/>
    <s v="iPhone 13"/>
    <n v="4"/>
    <n v="43748"/>
    <n v="0.06"/>
    <x v="1"/>
    <x v="1"/>
    <n v="174992"/>
    <n v="10499.52"/>
    <n v="164492.48000000001"/>
  </r>
  <r>
    <x v="47"/>
    <s v="2023-01-26"/>
    <x v="1"/>
    <x v="10"/>
    <x v="3"/>
    <s v="T-Shirt"/>
    <s v="Cotton Tee"/>
    <n v="6"/>
    <n v="6641"/>
    <n v="0.1"/>
    <x v="1"/>
    <x v="0"/>
    <n v="39846"/>
    <n v="3984.6000000000004"/>
    <n v="35861.4"/>
  </r>
  <r>
    <x v="48"/>
    <s v="2023-08-24"/>
    <x v="1"/>
    <x v="14"/>
    <x v="1"/>
    <s v="Chair"/>
    <s v="Ergo Chair"/>
    <n v="6"/>
    <n v="35223"/>
    <n v="0.11"/>
    <x v="1"/>
    <x v="5"/>
    <n v="211338"/>
    <n v="23247.18"/>
    <n v="188090.82"/>
  </r>
  <r>
    <x v="49"/>
    <s v="2023-06-23"/>
    <x v="3"/>
    <x v="13"/>
    <x v="3"/>
    <s v="T-Shirt"/>
    <s v="Graphic Tee"/>
    <n v="1"/>
    <n v="25754"/>
    <n v="0"/>
    <x v="1"/>
    <x v="0"/>
    <n v="25754"/>
    <n v="0"/>
    <n v="25754"/>
  </r>
  <r>
    <x v="50"/>
    <s v="2023-02-12"/>
    <x v="0"/>
    <x v="15"/>
    <x v="2"/>
    <s v="Oil"/>
    <s v="Sunflower Oil"/>
    <n v="3"/>
    <n v="13236"/>
    <n v="0.08"/>
    <x v="1"/>
    <x v="3"/>
    <n v="39708"/>
    <n v="3176.64"/>
    <n v="36531.360000000001"/>
  </r>
  <r>
    <x v="51"/>
    <s v="2023-04-10"/>
    <x v="2"/>
    <x v="4"/>
    <x v="2"/>
    <s v="Oil"/>
    <s v="Sunflower Oil"/>
    <n v="8"/>
    <n v="29235"/>
    <n v="0.16"/>
    <x v="1"/>
    <x v="2"/>
    <n v="233880"/>
    <n v="37420.800000000003"/>
    <n v="196459.2"/>
  </r>
  <r>
    <x v="52"/>
    <s v="2023-07-28"/>
    <x v="1"/>
    <x v="10"/>
    <x v="0"/>
    <s v="Laptop"/>
    <s v="Acer Aspire 5"/>
    <n v="2"/>
    <n v="46771"/>
    <n v="0.02"/>
    <x v="1"/>
    <x v="1"/>
    <n v="93542"/>
    <n v="1870.8400000000001"/>
    <n v="91671.16"/>
  </r>
  <r>
    <x v="53"/>
    <s v="2023-10-05"/>
    <x v="2"/>
    <x v="5"/>
    <x v="0"/>
    <s v="Laptop"/>
    <s v="Dell Inspiron"/>
    <n v="10"/>
    <n v="46646"/>
    <n v="0.13"/>
    <x v="1"/>
    <x v="7"/>
    <n v="466460"/>
    <n v="60639.8"/>
    <n v="405820.2"/>
  </r>
  <r>
    <x v="54"/>
    <s v="2023-01-15"/>
    <x v="3"/>
    <x v="13"/>
    <x v="2"/>
    <s v="Milk"/>
    <s v="Full Cream Milk"/>
    <n v="2"/>
    <n v="34702"/>
    <n v="0.15"/>
    <x v="0"/>
    <x v="7"/>
    <n v="69404"/>
    <n v="10410.6"/>
    <n v="58993.4"/>
  </r>
  <r>
    <x v="55"/>
    <s v="2023-06-19"/>
    <x v="2"/>
    <x v="5"/>
    <x v="0"/>
    <s v="Mobile"/>
    <s v="iPhone 13"/>
    <n v="7"/>
    <n v="811"/>
    <n v="0.17"/>
    <x v="1"/>
    <x v="3"/>
    <n v="5677"/>
    <n v="965.09"/>
    <n v="4711.91"/>
  </r>
  <r>
    <x v="56"/>
    <s v="2023-10-05"/>
    <x v="3"/>
    <x v="7"/>
    <x v="0"/>
    <s v="Mobile"/>
    <s v="Samsung S21"/>
    <n v="3"/>
    <n v="40029"/>
    <n v="0.01"/>
    <x v="1"/>
    <x v="4"/>
    <n v="120087"/>
    <n v="1200.8700000000001"/>
    <n v="118886.13"/>
  </r>
  <r>
    <x v="57"/>
    <s v="2023-04-12"/>
    <x v="1"/>
    <x v="1"/>
    <x v="2"/>
    <s v="Oil"/>
    <s v="Sunflower Oil"/>
    <n v="7"/>
    <n v="14322"/>
    <n v="0.19"/>
    <x v="1"/>
    <x v="0"/>
    <n v="100254"/>
    <n v="19048.260000000002"/>
    <n v="81205.739999999991"/>
  </r>
  <r>
    <x v="58"/>
    <s v="2023-11-23"/>
    <x v="3"/>
    <x v="13"/>
    <x v="2"/>
    <s v="Rice"/>
    <s v="Sona Masoori"/>
    <n v="8"/>
    <n v="47465"/>
    <n v="0.03"/>
    <x v="1"/>
    <x v="5"/>
    <n v="379720"/>
    <n v="11391.6"/>
    <n v="368328.4"/>
  </r>
  <r>
    <x v="59"/>
    <s v="2023-06-23"/>
    <x v="0"/>
    <x v="12"/>
    <x v="0"/>
    <s v="Headphones"/>
    <s v="Boat Rockerz"/>
    <n v="3"/>
    <n v="4508"/>
    <n v="0.02"/>
    <x v="1"/>
    <x v="2"/>
    <n v="13524"/>
    <n v="270.48"/>
    <n v="13253.52"/>
  </r>
  <r>
    <x v="60"/>
    <s v="2023-09-23"/>
    <x v="2"/>
    <x v="3"/>
    <x v="2"/>
    <s v="Snacks"/>
    <s v="Chips"/>
    <n v="6"/>
    <n v="21510"/>
    <n v="0.05"/>
    <x v="1"/>
    <x v="6"/>
    <n v="129060"/>
    <n v="6453"/>
    <n v="122607"/>
  </r>
  <r>
    <x v="61"/>
    <s v="2023-12-18"/>
    <x v="2"/>
    <x v="3"/>
    <x v="1"/>
    <s v="Sofa"/>
    <s v="3-Seater Sofa"/>
    <n v="9"/>
    <n v="6713"/>
    <n v="0.14000000000000001"/>
    <x v="1"/>
    <x v="3"/>
    <n v="60417"/>
    <n v="8458.380000000001"/>
    <n v="51958.619999999995"/>
  </r>
  <r>
    <x v="62"/>
    <s v="2023-08-08"/>
    <x v="0"/>
    <x v="12"/>
    <x v="2"/>
    <s v="Milk"/>
    <s v="Full Cream Milk"/>
    <n v="10"/>
    <n v="10054"/>
    <n v="0.11"/>
    <x v="1"/>
    <x v="1"/>
    <n v="100540"/>
    <n v="11059.4"/>
    <n v="89480.6"/>
  </r>
  <r>
    <x v="63"/>
    <s v="2023-07-05"/>
    <x v="3"/>
    <x v="7"/>
    <x v="1"/>
    <s v="Shelf"/>
    <s v="Wall Shelf"/>
    <n v="7"/>
    <n v="6538"/>
    <n v="0"/>
    <x v="0"/>
    <x v="6"/>
    <n v="45766"/>
    <n v="0"/>
    <n v="45766"/>
  </r>
  <r>
    <x v="64"/>
    <s v="2023-05-18"/>
    <x v="0"/>
    <x v="0"/>
    <x v="1"/>
    <s v="Chair"/>
    <s v="Office Chair Pro"/>
    <n v="3"/>
    <n v="42025"/>
    <n v="7.0000000000000007E-2"/>
    <x v="0"/>
    <x v="3"/>
    <n v="126075"/>
    <n v="8825.25"/>
    <n v="117249.75"/>
  </r>
  <r>
    <x v="65"/>
    <s v="2023-06-07"/>
    <x v="2"/>
    <x v="5"/>
    <x v="0"/>
    <s v="Laptop"/>
    <s v="Acer Aspire 5"/>
    <n v="1"/>
    <n v="38321"/>
    <n v="0.08"/>
    <x v="0"/>
    <x v="4"/>
    <n v="38321"/>
    <n v="3065.6800000000003"/>
    <n v="35255.32"/>
  </r>
  <r>
    <x v="66"/>
    <s v="2023-06-05"/>
    <x v="3"/>
    <x v="9"/>
    <x v="1"/>
    <s v="Chair"/>
    <s v="Office Chair Pro"/>
    <n v="1"/>
    <n v="17539"/>
    <n v="0.2"/>
    <x v="0"/>
    <x v="5"/>
    <n v="17539"/>
    <n v="3507.8"/>
    <n v="14031.2"/>
  </r>
  <r>
    <x v="67"/>
    <s v="2023-05-26"/>
    <x v="1"/>
    <x v="6"/>
    <x v="2"/>
    <s v="Snacks"/>
    <s v="Biscuits"/>
    <n v="3"/>
    <n v="1343"/>
    <n v="0.17"/>
    <x v="0"/>
    <x v="4"/>
    <n v="4029"/>
    <n v="684.93000000000006"/>
    <n v="3344.0699999999997"/>
  </r>
  <r>
    <x v="68"/>
    <s v="2023-10-20"/>
    <x v="0"/>
    <x v="11"/>
    <x v="0"/>
    <s v="Monitor"/>
    <s v="Samsung Curved"/>
    <n v="1"/>
    <n v="49922"/>
    <n v="0.02"/>
    <x v="1"/>
    <x v="1"/>
    <n v="49922"/>
    <n v="998.44"/>
    <n v="48923.56"/>
  </r>
  <r>
    <x v="69"/>
    <s v="2023-12-04"/>
    <x v="3"/>
    <x v="8"/>
    <x v="0"/>
    <s v="Mobile"/>
    <s v="Samsung S21"/>
    <n v="9"/>
    <n v="10629"/>
    <n v="0.13"/>
    <x v="1"/>
    <x v="4"/>
    <n v="95661"/>
    <n v="12435.93"/>
    <n v="83225.070000000007"/>
  </r>
  <r>
    <x v="70"/>
    <s v="2023-11-05"/>
    <x v="3"/>
    <x v="8"/>
    <x v="1"/>
    <s v="Sofa"/>
    <s v="3-Seater Sofa"/>
    <n v="4"/>
    <n v="10394"/>
    <n v="0.11"/>
    <x v="0"/>
    <x v="7"/>
    <n v="41576"/>
    <n v="4573.3599999999997"/>
    <n v="37002.639999999999"/>
  </r>
  <r>
    <x v="71"/>
    <s v="2023-08-11"/>
    <x v="1"/>
    <x v="10"/>
    <x v="3"/>
    <s v="T-Shirt"/>
    <s v="Sports Tee"/>
    <n v="8"/>
    <n v="8454"/>
    <n v="0.12"/>
    <x v="0"/>
    <x v="2"/>
    <n v="67632"/>
    <n v="8115.84"/>
    <n v="59516.160000000003"/>
  </r>
  <r>
    <x v="72"/>
    <s v="2023-04-30"/>
    <x v="3"/>
    <x v="9"/>
    <x v="2"/>
    <s v="Oil"/>
    <s v="Mustard Oil"/>
    <n v="9"/>
    <n v="36897"/>
    <n v="0.06"/>
    <x v="0"/>
    <x v="2"/>
    <n v="332073"/>
    <n v="19924.38"/>
    <n v="312148.62"/>
  </r>
  <r>
    <x v="73"/>
    <s v="2023-05-30"/>
    <x v="1"/>
    <x v="14"/>
    <x v="0"/>
    <s v="Headphones"/>
    <s v="Boat Rockerz"/>
    <n v="2"/>
    <n v="26407"/>
    <n v="0.11"/>
    <x v="0"/>
    <x v="2"/>
    <n v="52814"/>
    <n v="5809.54"/>
    <n v="47004.46"/>
  </r>
  <r>
    <x v="74"/>
    <s v="2023-12-12"/>
    <x v="2"/>
    <x v="3"/>
    <x v="2"/>
    <s v="Snacks"/>
    <s v="Biscuits"/>
    <n v="2"/>
    <n v="3114"/>
    <n v="0.12"/>
    <x v="0"/>
    <x v="1"/>
    <n v="6228"/>
    <n v="747.36"/>
    <n v="5480.64"/>
  </r>
  <r>
    <x v="75"/>
    <s v="2023-06-27"/>
    <x v="3"/>
    <x v="7"/>
    <x v="1"/>
    <s v="Table"/>
    <s v="Office Table"/>
    <n v="8"/>
    <n v="24515"/>
    <n v="0.14000000000000001"/>
    <x v="1"/>
    <x v="5"/>
    <n v="196120"/>
    <n v="27456.800000000003"/>
    <n v="168663.2"/>
  </r>
  <r>
    <x v="76"/>
    <s v="2023-01-05"/>
    <x v="1"/>
    <x v="6"/>
    <x v="3"/>
    <s v="Jeans"/>
    <s v="Regular Fit"/>
    <n v="6"/>
    <n v="25155"/>
    <n v="0.08"/>
    <x v="1"/>
    <x v="0"/>
    <n v="150930"/>
    <n v="12074.4"/>
    <n v="138855.6"/>
  </r>
  <r>
    <x v="77"/>
    <s v="2023-07-08"/>
    <x v="1"/>
    <x v="14"/>
    <x v="0"/>
    <s v="Headphones"/>
    <s v="Boat Rockerz"/>
    <n v="8"/>
    <n v="12474"/>
    <n v="0.14000000000000001"/>
    <x v="0"/>
    <x v="0"/>
    <n v="99792"/>
    <n v="13970.880000000001"/>
    <n v="85821.119999999995"/>
  </r>
  <r>
    <x v="78"/>
    <s v="2023-01-28"/>
    <x v="2"/>
    <x v="3"/>
    <x v="0"/>
    <s v="Monitor"/>
    <s v="Dell 24-inch"/>
    <n v="5"/>
    <n v="21432"/>
    <n v="0.1"/>
    <x v="0"/>
    <x v="5"/>
    <n v="107160"/>
    <n v="10716"/>
    <n v="96444"/>
  </r>
  <r>
    <x v="79"/>
    <s v="2023-01-30"/>
    <x v="1"/>
    <x v="6"/>
    <x v="0"/>
    <s v="Monitor"/>
    <s v="Dell 24-inch"/>
    <n v="7"/>
    <n v="41716"/>
    <n v="0.16"/>
    <x v="0"/>
    <x v="4"/>
    <n v="292012"/>
    <n v="46721.919999999998"/>
    <n v="245290.08000000002"/>
  </r>
  <r>
    <x v="80"/>
    <s v="2023-06-15"/>
    <x v="3"/>
    <x v="13"/>
    <x v="2"/>
    <s v="Milk"/>
    <s v="Cow Milk"/>
    <n v="9"/>
    <n v="29852"/>
    <n v="0.11"/>
    <x v="1"/>
    <x v="7"/>
    <n v="268668"/>
    <n v="29553.48"/>
    <n v="239114.52"/>
  </r>
  <r>
    <x v="81"/>
    <s v="2023-10-24"/>
    <x v="3"/>
    <x v="8"/>
    <x v="3"/>
    <s v="Jeans"/>
    <s v="Stretch Fit"/>
    <n v="9"/>
    <n v="43258"/>
    <n v="0.02"/>
    <x v="0"/>
    <x v="1"/>
    <n v="389322"/>
    <n v="7786.4400000000005"/>
    <n v="381535.56"/>
  </r>
  <r>
    <x v="82"/>
    <s v="2023-10-30"/>
    <x v="1"/>
    <x v="10"/>
    <x v="0"/>
    <s v="Headphones"/>
    <s v="Boat Rockerz"/>
    <n v="5"/>
    <n v="42489"/>
    <n v="0.03"/>
    <x v="1"/>
    <x v="5"/>
    <n v="212445"/>
    <n v="6373.3499999999995"/>
    <n v="206071.65"/>
  </r>
  <r>
    <x v="83"/>
    <s v="2023-12-31"/>
    <x v="3"/>
    <x v="7"/>
    <x v="1"/>
    <s v="Chair"/>
    <s v="Ergo Chair"/>
    <n v="10"/>
    <n v="27301"/>
    <n v="0.15"/>
    <x v="0"/>
    <x v="0"/>
    <n v="273010"/>
    <n v="40951.5"/>
    <n v="232058.5"/>
  </r>
  <r>
    <x v="84"/>
    <s v="2023-08-05"/>
    <x v="0"/>
    <x v="12"/>
    <x v="3"/>
    <s v="Jeans"/>
    <s v="Stretch Fit"/>
    <n v="3"/>
    <n v="37824"/>
    <n v="0.06"/>
    <x v="1"/>
    <x v="7"/>
    <n v="113472"/>
    <n v="6808.32"/>
    <n v="106663.67999999999"/>
  </r>
  <r>
    <x v="85"/>
    <s v="2023-12-19"/>
    <x v="2"/>
    <x v="2"/>
    <x v="3"/>
    <s v="Jacket"/>
    <s v="Leather Jacket"/>
    <n v="4"/>
    <n v="41988"/>
    <n v="0.12"/>
    <x v="0"/>
    <x v="6"/>
    <n v="167952"/>
    <n v="20154.239999999998"/>
    <n v="147797.76000000001"/>
  </r>
  <r>
    <x v="86"/>
    <s v="2023-06-05"/>
    <x v="0"/>
    <x v="15"/>
    <x v="1"/>
    <s v="Chair"/>
    <s v="Office Chair Pro"/>
    <n v="5"/>
    <n v="18016"/>
    <n v="7.0000000000000007E-2"/>
    <x v="1"/>
    <x v="0"/>
    <n v="90080"/>
    <n v="6305.6"/>
    <n v="83774.399999999994"/>
  </r>
  <r>
    <x v="87"/>
    <s v="2023-07-01"/>
    <x v="1"/>
    <x v="1"/>
    <x v="1"/>
    <s v="Chair"/>
    <s v="Wooden Chair"/>
    <n v="8"/>
    <n v="11486"/>
    <n v="0.17"/>
    <x v="0"/>
    <x v="4"/>
    <n v="91888"/>
    <n v="15620.960000000001"/>
    <n v="76267.039999999994"/>
  </r>
  <r>
    <x v="88"/>
    <s v="2023-03-28"/>
    <x v="3"/>
    <x v="8"/>
    <x v="3"/>
    <s v="Shirt"/>
    <s v="Casual Shirt"/>
    <n v="8"/>
    <n v="33981"/>
    <n v="0.13"/>
    <x v="1"/>
    <x v="2"/>
    <n v="271848"/>
    <n v="35340.239999999998"/>
    <n v="236507.76"/>
  </r>
  <r>
    <x v="89"/>
    <s v="2023-10-01"/>
    <x v="2"/>
    <x v="3"/>
    <x v="0"/>
    <s v="Headphones"/>
    <s v="Sony WH-1000XM4"/>
    <n v="9"/>
    <n v="23864"/>
    <n v="0.01"/>
    <x v="1"/>
    <x v="5"/>
    <n v="214776"/>
    <n v="2147.7600000000002"/>
    <n v="212628.24"/>
  </r>
  <r>
    <x v="90"/>
    <s v="2023-02-05"/>
    <x v="2"/>
    <x v="2"/>
    <x v="3"/>
    <s v="T-Shirt"/>
    <s v="Graphic Tee"/>
    <n v="6"/>
    <n v="38835"/>
    <n v="0.12"/>
    <x v="0"/>
    <x v="4"/>
    <n v="233010"/>
    <n v="27961.200000000001"/>
    <n v="205048.8"/>
  </r>
  <r>
    <x v="91"/>
    <s v="2023-09-11"/>
    <x v="2"/>
    <x v="2"/>
    <x v="1"/>
    <s v="Table"/>
    <s v="Dining Table"/>
    <n v="6"/>
    <n v="35216"/>
    <n v="0.2"/>
    <x v="1"/>
    <x v="4"/>
    <n v="211296"/>
    <n v="42259.200000000004"/>
    <n v="169036.79999999999"/>
  </r>
  <r>
    <x v="92"/>
    <s v="2023-01-31"/>
    <x v="3"/>
    <x v="7"/>
    <x v="1"/>
    <s v="Chair"/>
    <s v="Ergo Chair"/>
    <n v="1"/>
    <n v="14263"/>
    <n v="0.19"/>
    <x v="0"/>
    <x v="4"/>
    <n v="14263"/>
    <n v="2709.9700000000003"/>
    <n v="11553.029999999999"/>
  </r>
  <r>
    <x v="93"/>
    <s v="2023-06-26"/>
    <x v="2"/>
    <x v="4"/>
    <x v="3"/>
    <s v="T-Shirt"/>
    <s v="Cotton Tee"/>
    <n v="9"/>
    <n v="1612"/>
    <n v="0.09"/>
    <x v="0"/>
    <x v="2"/>
    <n v="14508"/>
    <n v="1305.72"/>
    <n v="13202.28"/>
  </r>
  <r>
    <x v="94"/>
    <s v="2023-11-26"/>
    <x v="3"/>
    <x v="8"/>
    <x v="1"/>
    <s v="Sofa"/>
    <s v="Fabric Sofa"/>
    <n v="5"/>
    <n v="10549"/>
    <n v="0.13"/>
    <x v="1"/>
    <x v="1"/>
    <n v="52745"/>
    <n v="6856.85"/>
    <n v="45888.15"/>
  </r>
  <r>
    <x v="95"/>
    <s v="2023-02-01"/>
    <x v="3"/>
    <x v="7"/>
    <x v="3"/>
    <s v="Jeans"/>
    <s v="Slim Fit"/>
    <n v="8"/>
    <n v="36450"/>
    <n v="0.06"/>
    <x v="1"/>
    <x v="2"/>
    <n v="291600"/>
    <n v="17496"/>
    <n v="274104"/>
  </r>
  <r>
    <x v="96"/>
    <s v="2023-06-27"/>
    <x v="3"/>
    <x v="13"/>
    <x v="1"/>
    <s v="Chair"/>
    <s v="Ergo Chair"/>
    <n v="5"/>
    <n v="45114"/>
    <n v="0.12"/>
    <x v="0"/>
    <x v="4"/>
    <n v="225570"/>
    <n v="27068.399999999998"/>
    <n v="198501.6"/>
  </r>
  <r>
    <x v="97"/>
    <s v="2023-08-06"/>
    <x v="2"/>
    <x v="4"/>
    <x v="1"/>
    <s v="Sofa"/>
    <s v="Fabric Sofa"/>
    <n v="2"/>
    <n v="12984"/>
    <n v="0.1"/>
    <x v="1"/>
    <x v="2"/>
    <n v="25968"/>
    <n v="2596.8000000000002"/>
    <n v="23371.200000000001"/>
  </r>
  <r>
    <x v="98"/>
    <s v="2023-10-29"/>
    <x v="3"/>
    <x v="13"/>
    <x v="3"/>
    <s v="Shirt"/>
    <s v="Linen Shirt"/>
    <n v="7"/>
    <n v="22071"/>
    <n v="0.01"/>
    <x v="1"/>
    <x v="2"/>
    <n v="154497"/>
    <n v="1544.97"/>
    <n v="152952.03"/>
  </r>
  <r>
    <x v="99"/>
    <s v="2023-04-09"/>
    <x v="1"/>
    <x v="6"/>
    <x v="1"/>
    <s v="Shelf"/>
    <s v="Wall Shelf"/>
    <n v="10"/>
    <n v="8406"/>
    <n v="7.0000000000000007E-2"/>
    <x v="0"/>
    <x v="0"/>
    <n v="84060"/>
    <n v="5884.2000000000007"/>
    <n v="78175.8"/>
  </r>
  <r>
    <x v="100"/>
    <s v="2023-12-29"/>
    <x v="2"/>
    <x v="3"/>
    <x v="1"/>
    <s v="Shelf"/>
    <s v="Wall Shelf"/>
    <n v="2"/>
    <n v="19806"/>
    <n v="0.05"/>
    <x v="1"/>
    <x v="6"/>
    <n v="39612"/>
    <n v="1980.6000000000001"/>
    <n v="37631.4"/>
  </r>
  <r>
    <x v="101"/>
    <s v="2023-03-10"/>
    <x v="0"/>
    <x v="15"/>
    <x v="0"/>
    <s v="Laptop"/>
    <s v="Acer Aspire 5"/>
    <n v="10"/>
    <n v="10205"/>
    <n v="0.02"/>
    <x v="1"/>
    <x v="6"/>
    <n v="102050"/>
    <n v="2041"/>
    <n v="100009"/>
  </r>
  <r>
    <x v="102"/>
    <s v="2023-12-22"/>
    <x v="2"/>
    <x v="3"/>
    <x v="2"/>
    <s v="Oil"/>
    <s v="Olive Oil"/>
    <n v="4"/>
    <n v="31257"/>
    <n v="0.11"/>
    <x v="1"/>
    <x v="5"/>
    <n v="125028"/>
    <n v="13753.08"/>
    <n v="111274.92"/>
  </r>
  <r>
    <x v="103"/>
    <s v="2023-01-14"/>
    <x v="2"/>
    <x v="2"/>
    <x v="3"/>
    <s v="Shirt"/>
    <s v="Formal Shirt"/>
    <n v="7"/>
    <n v="45758"/>
    <n v="0.03"/>
    <x v="0"/>
    <x v="7"/>
    <n v="320306"/>
    <n v="9609.18"/>
    <n v="310696.82"/>
  </r>
  <r>
    <x v="104"/>
    <s v="2023-02-04"/>
    <x v="1"/>
    <x v="14"/>
    <x v="3"/>
    <s v="T-Shirt"/>
    <s v="Sports Tee"/>
    <n v="3"/>
    <n v="1357"/>
    <n v="0.19"/>
    <x v="0"/>
    <x v="1"/>
    <n v="4071"/>
    <n v="773.49"/>
    <n v="3297.51"/>
  </r>
  <r>
    <x v="105"/>
    <s v="2023-01-09"/>
    <x v="0"/>
    <x v="15"/>
    <x v="2"/>
    <s v="Milk"/>
    <s v="Full Cream Milk"/>
    <n v="1"/>
    <n v="21761"/>
    <n v="0.18"/>
    <x v="0"/>
    <x v="3"/>
    <n v="21761"/>
    <n v="3916.98"/>
    <n v="17844.02"/>
  </r>
  <r>
    <x v="106"/>
    <s v="2023-08-30"/>
    <x v="1"/>
    <x v="10"/>
    <x v="3"/>
    <s v="T-Shirt"/>
    <s v="Graphic Tee"/>
    <n v="6"/>
    <n v="18512"/>
    <n v="0.17"/>
    <x v="1"/>
    <x v="5"/>
    <n v="111072"/>
    <n v="18882.240000000002"/>
    <n v="92189.759999999995"/>
  </r>
  <r>
    <x v="107"/>
    <s v="2023-01-24"/>
    <x v="2"/>
    <x v="3"/>
    <x v="2"/>
    <s v="Rice"/>
    <s v="Sona Masoori"/>
    <n v="7"/>
    <n v="39773"/>
    <n v="0.04"/>
    <x v="0"/>
    <x v="5"/>
    <n v="278411"/>
    <n v="11136.44"/>
    <n v="267274.56"/>
  </r>
  <r>
    <x v="108"/>
    <s v="2023-12-10"/>
    <x v="2"/>
    <x v="2"/>
    <x v="3"/>
    <s v="Jeans"/>
    <s v="Stretch Fit"/>
    <n v="1"/>
    <n v="35493"/>
    <n v="0.03"/>
    <x v="1"/>
    <x v="7"/>
    <n v="35493"/>
    <n v="1064.79"/>
    <n v="34428.21"/>
  </r>
  <r>
    <x v="109"/>
    <s v="2023-07-17"/>
    <x v="2"/>
    <x v="2"/>
    <x v="2"/>
    <s v="Milk"/>
    <s v="Full Cream Milk"/>
    <n v="7"/>
    <n v="9371"/>
    <n v="0.05"/>
    <x v="1"/>
    <x v="4"/>
    <n v="65597"/>
    <n v="3279.8500000000004"/>
    <n v="62317.15"/>
  </r>
  <r>
    <x v="110"/>
    <s v="2023-12-09"/>
    <x v="1"/>
    <x v="10"/>
    <x v="2"/>
    <s v="Oil"/>
    <s v="Olive Oil"/>
    <n v="10"/>
    <n v="635"/>
    <n v="0.01"/>
    <x v="1"/>
    <x v="3"/>
    <n v="6350"/>
    <n v="63.5"/>
    <n v="6286.5"/>
  </r>
  <r>
    <x v="111"/>
    <s v="2023-09-27"/>
    <x v="2"/>
    <x v="2"/>
    <x v="1"/>
    <s v="Shelf"/>
    <s v="Wall Shelf"/>
    <n v="8"/>
    <n v="20858"/>
    <n v="0.03"/>
    <x v="0"/>
    <x v="1"/>
    <n v="166864"/>
    <n v="5005.92"/>
    <n v="161858.07999999999"/>
  </r>
  <r>
    <x v="112"/>
    <s v="2023-09-05"/>
    <x v="2"/>
    <x v="4"/>
    <x v="0"/>
    <s v="Headphones"/>
    <s v="Boat Rockerz"/>
    <n v="5"/>
    <n v="34695"/>
    <n v="0.08"/>
    <x v="1"/>
    <x v="7"/>
    <n v="173475"/>
    <n v="13878"/>
    <n v="159597"/>
  </r>
  <r>
    <x v="113"/>
    <s v="2023-02-14"/>
    <x v="3"/>
    <x v="9"/>
    <x v="0"/>
    <s v="Laptop"/>
    <s v="Acer Aspire 5"/>
    <n v="2"/>
    <n v="37272"/>
    <n v="0.15"/>
    <x v="1"/>
    <x v="7"/>
    <n v="74544"/>
    <n v="11181.6"/>
    <n v="63362.400000000001"/>
  </r>
  <r>
    <x v="114"/>
    <s v="2023-12-28"/>
    <x v="3"/>
    <x v="13"/>
    <x v="3"/>
    <s v="Jacket"/>
    <s v="Windcheater"/>
    <n v="2"/>
    <n v="33825"/>
    <n v="0.13"/>
    <x v="1"/>
    <x v="1"/>
    <n v="67650"/>
    <n v="8794.5"/>
    <n v="58855.5"/>
  </r>
  <r>
    <x v="115"/>
    <s v="2023-07-06"/>
    <x v="3"/>
    <x v="8"/>
    <x v="0"/>
    <s v="Monitor"/>
    <s v="Samsung Curved"/>
    <n v="4"/>
    <n v="44357"/>
    <n v="0.04"/>
    <x v="0"/>
    <x v="3"/>
    <n v="177428"/>
    <n v="7097.12"/>
    <n v="170330.88"/>
  </r>
  <r>
    <x v="116"/>
    <s v="2023-07-09"/>
    <x v="0"/>
    <x v="11"/>
    <x v="1"/>
    <s v="Chair"/>
    <s v="Office Chair Pro"/>
    <n v="2"/>
    <n v="47689"/>
    <n v="0.08"/>
    <x v="1"/>
    <x v="2"/>
    <n v="95378"/>
    <n v="7630.24"/>
    <n v="87747.76"/>
  </r>
  <r>
    <x v="117"/>
    <s v="2023-06-22"/>
    <x v="1"/>
    <x v="1"/>
    <x v="3"/>
    <s v="T-Shirt"/>
    <s v="Cotton Tee"/>
    <n v="4"/>
    <n v="29509"/>
    <n v="0.1"/>
    <x v="0"/>
    <x v="0"/>
    <n v="118036"/>
    <n v="11803.6"/>
    <n v="106232.4"/>
  </r>
  <r>
    <x v="118"/>
    <s v="2023-02-16"/>
    <x v="0"/>
    <x v="0"/>
    <x v="0"/>
    <s v="Headphones"/>
    <s v="Boat Rockerz"/>
    <n v="1"/>
    <n v="9756"/>
    <n v="0.11"/>
    <x v="1"/>
    <x v="4"/>
    <n v="9756"/>
    <n v="1073.1600000000001"/>
    <n v="8682.84"/>
  </r>
  <r>
    <x v="119"/>
    <s v="2023-02-05"/>
    <x v="1"/>
    <x v="6"/>
    <x v="2"/>
    <s v="Oil"/>
    <s v="Mustard Oil"/>
    <n v="10"/>
    <n v="36997"/>
    <n v="0.05"/>
    <x v="1"/>
    <x v="5"/>
    <n v="369970"/>
    <n v="18498.5"/>
    <n v="351471.5"/>
  </r>
  <r>
    <x v="120"/>
    <s v="2023-06-14"/>
    <x v="1"/>
    <x v="6"/>
    <x v="0"/>
    <s v="Laptop"/>
    <s v="HP Pavilion"/>
    <n v="8"/>
    <n v="38256"/>
    <n v="0.15"/>
    <x v="0"/>
    <x v="4"/>
    <n v="306048"/>
    <n v="45907.199999999997"/>
    <n v="260140.79999999999"/>
  </r>
  <r>
    <x v="121"/>
    <s v="2023-10-12"/>
    <x v="0"/>
    <x v="12"/>
    <x v="2"/>
    <s v="Milk"/>
    <s v="Full Cream Milk"/>
    <n v="2"/>
    <n v="13301"/>
    <n v="0.06"/>
    <x v="0"/>
    <x v="1"/>
    <n v="26602"/>
    <n v="1596.12"/>
    <n v="25005.88"/>
  </r>
  <r>
    <x v="122"/>
    <s v="2023-09-16"/>
    <x v="1"/>
    <x v="1"/>
    <x v="1"/>
    <s v="Chair"/>
    <s v="Office Chair Pro"/>
    <n v="4"/>
    <n v="33262"/>
    <n v="0.01"/>
    <x v="1"/>
    <x v="7"/>
    <n v="133048"/>
    <n v="1330.48"/>
    <n v="131717.51999999999"/>
  </r>
  <r>
    <x v="123"/>
    <s v="2023-09-07"/>
    <x v="3"/>
    <x v="13"/>
    <x v="2"/>
    <s v="Oil"/>
    <s v="Olive Oil"/>
    <n v="5"/>
    <n v="33264"/>
    <n v="0.14000000000000001"/>
    <x v="1"/>
    <x v="4"/>
    <n v="166320"/>
    <n v="23284.800000000003"/>
    <n v="143035.20000000001"/>
  </r>
  <r>
    <x v="124"/>
    <s v="2023-09-14"/>
    <x v="3"/>
    <x v="7"/>
    <x v="3"/>
    <s v="T-Shirt"/>
    <s v="Graphic Tee"/>
    <n v="6"/>
    <n v="15918"/>
    <n v="0.1"/>
    <x v="1"/>
    <x v="1"/>
    <n v="95508"/>
    <n v="9550.8000000000011"/>
    <n v="85957.2"/>
  </r>
  <r>
    <x v="125"/>
    <s v="2023-08-06"/>
    <x v="0"/>
    <x v="15"/>
    <x v="0"/>
    <s v="Monitor"/>
    <s v="Samsung Curved"/>
    <n v="10"/>
    <n v="27819"/>
    <n v="0.18"/>
    <x v="1"/>
    <x v="1"/>
    <n v="278190"/>
    <n v="50074.2"/>
    <n v="228115.8"/>
  </r>
  <r>
    <x v="126"/>
    <s v="2023-05-20"/>
    <x v="1"/>
    <x v="1"/>
    <x v="2"/>
    <s v="Snacks"/>
    <s v="Chips"/>
    <n v="6"/>
    <n v="37811"/>
    <n v="0.09"/>
    <x v="1"/>
    <x v="0"/>
    <n v="226866"/>
    <n v="20417.939999999999"/>
    <n v="206448.06"/>
  </r>
  <r>
    <x v="127"/>
    <s v="2023-10-19"/>
    <x v="3"/>
    <x v="7"/>
    <x v="0"/>
    <s v="Mobile"/>
    <s v="Redmi Note 12"/>
    <n v="9"/>
    <n v="4856"/>
    <n v="0.03"/>
    <x v="0"/>
    <x v="7"/>
    <n v="43704"/>
    <n v="1311.12"/>
    <n v="42392.88"/>
  </r>
  <r>
    <x v="128"/>
    <s v="2023-09-09"/>
    <x v="1"/>
    <x v="1"/>
    <x v="1"/>
    <s v="Shelf"/>
    <s v="Wooden Shelf"/>
    <n v="7"/>
    <n v="35218"/>
    <n v="0.05"/>
    <x v="1"/>
    <x v="1"/>
    <n v="246526"/>
    <n v="12326.300000000001"/>
    <n v="234199.7"/>
  </r>
  <r>
    <x v="129"/>
    <s v="2023-03-03"/>
    <x v="1"/>
    <x v="6"/>
    <x v="1"/>
    <s v="Table"/>
    <s v="Coffee Table"/>
    <n v="5"/>
    <n v="26481"/>
    <n v="0.08"/>
    <x v="0"/>
    <x v="6"/>
    <n v="132405"/>
    <n v="10592.4"/>
    <n v="121812.6"/>
  </r>
  <r>
    <x v="130"/>
    <s v="2023-10-26"/>
    <x v="1"/>
    <x v="6"/>
    <x v="1"/>
    <s v="Chair"/>
    <s v="Wooden Chair"/>
    <n v="10"/>
    <n v="1790"/>
    <n v="0.02"/>
    <x v="1"/>
    <x v="6"/>
    <n v="17900"/>
    <n v="358"/>
    <n v="17542"/>
  </r>
  <r>
    <x v="131"/>
    <s v="2023-06-22"/>
    <x v="2"/>
    <x v="3"/>
    <x v="0"/>
    <s v="Mobile"/>
    <s v="Redmi Note 12"/>
    <n v="8"/>
    <n v="16223"/>
    <n v="0.2"/>
    <x v="0"/>
    <x v="7"/>
    <n v="129784"/>
    <n v="25956.800000000003"/>
    <n v="103827.2"/>
  </r>
  <r>
    <x v="132"/>
    <s v="2023-05-03"/>
    <x v="0"/>
    <x v="0"/>
    <x v="3"/>
    <s v="Jacket"/>
    <s v="Leather Jacket"/>
    <n v="4"/>
    <n v="30803"/>
    <n v="0.13"/>
    <x v="0"/>
    <x v="3"/>
    <n v="123212"/>
    <n v="16017.560000000001"/>
    <n v="107194.44"/>
  </r>
  <r>
    <x v="133"/>
    <s v="2023-12-09"/>
    <x v="0"/>
    <x v="15"/>
    <x v="2"/>
    <s v="Snacks"/>
    <s v="Biscuits"/>
    <n v="2"/>
    <n v="28038"/>
    <n v="0.04"/>
    <x v="1"/>
    <x v="7"/>
    <n v="56076"/>
    <n v="2243.04"/>
    <n v="53832.959999999999"/>
  </r>
  <r>
    <x v="134"/>
    <s v="2024-01-01"/>
    <x v="0"/>
    <x v="15"/>
    <x v="2"/>
    <s v="Rice"/>
    <s v="Sona Masoori"/>
    <n v="7"/>
    <n v="27126"/>
    <n v="0.16"/>
    <x v="0"/>
    <x v="5"/>
    <n v="189882"/>
    <n v="30381.119999999999"/>
    <n v="159500.88"/>
  </r>
  <r>
    <x v="135"/>
    <s v="2023-03-03"/>
    <x v="1"/>
    <x v="10"/>
    <x v="1"/>
    <s v="Shelf"/>
    <s v="Wall Shelf"/>
    <n v="1"/>
    <n v="34167"/>
    <n v="0.14000000000000001"/>
    <x v="1"/>
    <x v="2"/>
    <n v="34167"/>
    <n v="4783.38"/>
    <n v="29383.62"/>
  </r>
  <r>
    <x v="136"/>
    <s v="2023-05-28"/>
    <x v="3"/>
    <x v="7"/>
    <x v="0"/>
    <s v="Monitor"/>
    <s v="Dell 24-inch"/>
    <n v="9"/>
    <n v="17362"/>
    <n v="0.13"/>
    <x v="0"/>
    <x v="0"/>
    <n v="156258"/>
    <n v="20313.54"/>
    <n v="135944.46"/>
  </r>
  <r>
    <x v="137"/>
    <s v="2023-07-13"/>
    <x v="3"/>
    <x v="13"/>
    <x v="1"/>
    <s v="Sofa"/>
    <s v="3-Seater Sofa"/>
    <n v="5"/>
    <n v="29948"/>
    <n v="0.14000000000000001"/>
    <x v="1"/>
    <x v="1"/>
    <n v="149740"/>
    <n v="20963.600000000002"/>
    <n v="128776.4"/>
  </r>
  <r>
    <x v="138"/>
    <s v="2023-09-22"/>
    <x v="1"/>
    <x v="14"/>
    <x v="3"/>
    <s v="Jeans"/>
    <s v="Stretch Fit"/>
    <n v="4"/>
    <n v="36239"/>
    <n v="0.16"/>
    <x v="0"/>
    <x v="4"/>
    <n v="144956"/>
    <n v="23192.959999999999"/>
    <n v="121763.04000000001"/>
  </r>
  <r>
    <x v="139"/>
    <s v="2023-03-28"/>
    <x v="0"/>
    <x v="11"/>
    <x v="1"/>
    <s v="Chair"/>
    <s v="Wooden Chair"/>
    <n v="10"/>
    <n v="49292"/>
    <n v="0.06"/>
    <x v="0"/>
    <x v="4"/>
    <n v="492920"/>
    <n v="29575.199999999997"/>
    <n v="463344.8"/>
  </r>
  <r>
    <x v="140"/>
    <s v="2023-01-29"/>
    <x v="0"/>
    <x v="12"/>
    <x v="2"/>
    <s v="Rice"/>
    <s v="Basmati Rice"/>
    <n v="1"/>
    <n v="22773"/>
    <n v="0.14000000000000001"/>
    <x v="1"/>
    <x v="5"/>
    <n v="22773"/>
    <n v="3188.2200000000003"/>
    <n v="19584.78"/>
  </r>
  <r>
    <x v="141"/>
    <s v="2023-02-09"/>
    <x v="0"/>
    <x v="11"/>
    <x v="3"/>
    <s v="Shirt"/>
    <s v="Linen Shirt"/>
    <n v="3"/>
    <n v="14188"/>
    <n v="0.16"/>
    <x v="0"/>
    <x v="6"/>
    <n v="42564"/>
    <n v="6810.24"/>
    <n v="35753.760000000002"/>
  </r>
  <r>
    <x v="142"/>
    <s v="2023-10-01"/>
    <x v="0"/>
    <x v="12"/>
    <x v="3"/>
    <s v="Jeans"/>
    <s v="Stretch Fit"/>
    <n v="10"/>
    <n v="24549"/>
    <n v="0.09"/>
    <x v="0"/>
    <x v="4"/>
    <n v="245490"/>
    <n v="22094.1"/>
    <n v="223395.9"/>
  </r>
  <r>
    <x v="143"/>
    <s v="2023-08-16"/>
    <x v="3"/>
    <x v="7"/>
    <x v="0"/>
    <s v="Monitor"/>
    <s v="Samsung Curved"/>
    <n v="6"/>
    <n v="10360"/>
    <n v="0.15"/>
    <x v="1"/>
    <x v="2"/>
    <n v="62160"/>
    <n v="9324"/>
    <n v="52836"/>
  </r>
  <r>
    <x v="144"/>
    <s v="2023-07-08"/>
    <x v="1"/>
    <x v="14"/>
    <x v="3"/>
    <s v="Shirt"/>
    <s v="Formal Shirt"/>
    <n v="4"/>
    <n v="48200"/>
    <n v="0.2"/>
    <x v="0"/>
    <x v="2"/>
    <n v="192800"/>
    <n v="38560"/>
    <n v="154240"/>
  </r>
  <r>
    <x v="145"/>
    <s v="2023-12-28"/>
    <x v="3"/>
    <x v="13"/>
    <x v="0"/>
    <s v="Headphones"/>
    <s v="Sony WH-1000XM4"/>
    <n v="5"/>
    <n v="10817"/>
    <n v="0.03"/>
    <x v="1"/>
    <x v="4"/>
    <n v="54085"/>
    <n v="1622.55"/>
    <n v="52462.45"/>
  </r>
  <r>
    <x v="146"/>
    <s v="2023-05-20"/>
    <x v="0"/>
    <x v="11"/>
    <x v="2"/>
    <s v="Milk"/>
    <s v="Cow Milk"/>
    <n v="1"/>
    <n v="21980"/>
    <n v="0.13"/>
    <x v="0"/>
    <x v="1"/>
    <n v="21980"/>
    <n v="2857.4"/>
    <n v="19122.599999999999"/>
  </r>
  <r>
    <x v="147"/>
    <s v="2023-06-18"/>
    <x v="1"/>
    <x v="6"/>
    <x v="2"/>
    <s v="Oil"/>
    <s v="Sunflower Oil"/>
    <n v="2"/>
    <n v="32136"/>
    <n v="0.04"/>
    <x v="0"/>
    <x v="2"/>
    <n v="64272"/>
    <n v="2570.88"/>
    <n v="61701.120000000003"/>
  </r>
  <r>
    <x v="148"/>
    <s v="2023-11-30"/>
    <x v="3"/>
    <x v="8"/>
    <x v="3"/>
    <s v="Jacket"/>
    <s v="Hooded Jacket"/>
    <n v="3"/>
    <n v="37470"/>
    <n v="0.19"/>
    <x v="1"/>
    <x v="5"/>
    <n v="112410"/>
    <n v="21357.9"/>
    <n v="91052.1"/>
  </r>
  <r>
    <x v="149"/>
    <s v="2023-04-06"/>
    <x v="0"/>
    <x v="15"/>
    <x v="3"/>
    <s v="Shirt"/>
    <s v="Casual Shirt"/>
    <n v="1"/>
    <n v="13796"/>
    <n v="0.04"/>
    <x v="0"/>
    <x v="0"/>
    <n v="13796"/>
    <n v="551.84"/>
    <n v="13244.16"/>
  </r>
  <r>
    <x v="150"/>
    <s v="2023-01-12"/>
    <x v="1"/>
    <x v="1"/>
    <x v="3"/>
    <s v="Jacket"/>
    <s v="Windcheater"/>
    <n v="2"/>
    <n v="12446"/>
    <n v="0.11"/>
    <x v="1"/>
    <x v="5"/>
    <n v="24892"/>
    <n v="2738.12"/>
    <n v="22153.88"/>
  </r>
  <r>
    <x v="151"/>
    <s v="2023-06-25"/>
    <x v="0"/>
    <x v="15"/>
    <x v="3"/>
    <s v="Jeans"/>
    <s v="Stretch Fit"/>
    <n v="7"/>
    <n v="17303"/>
    <n v="0.1"/>
    <x v="0"/>
    <x v="3"/>
    <n v="121121"/>
    <n v="12112.1"/>
    <n v="109008.9"/>
  </r>
  <r>
    <x v="152"/>
    <s v="2023-06-04"/>
    <x v="1"/>
    <x v="10"/>
    <x v="3"/>
    <s v="Jeans"/>
    <s v="Regular Fit"/>
    <n v="1"/>
    <n v="15192"/>
    <n v="0.1"/>
    <x v="1"/>
    <x v="3"/>
    <n v="15192"/>
    <n v="1519.2"/>
    <n v="13672.8"/>
  </r>
  <r>
    <x v="153"/>
    <s v="2023-05-15"/>
    <x v="2"/>
    <x v="4"/>
    <x v="3"/>
    <s v="Jacket"/>
    <s v="Hooded Jacket"/>
    <n v="9"/>
    <n v="22046"/>
    <n v="0.02"/>
    <x v="0"/>
    <x v="1"/>
    <n v="198414"/>
    <n v="3968.28"/>
    <n v="194445.72"/>
  </r>
  <r>
    <x v="154"/>
    <s v="2023-07-31"/>
    <x v="2"/>
    <x v="3"/>
    <x v="3"/>
    <s v="T-Shirt"/>
    <s v="Sports Tee"/>
    <n v="10"/>
    <n v="13866"/>
    <n v="0.18"/>
    <x v="1"/>
    <x v="1"/>
    <n v="138660"/>
    <n v="24958.799999999999"/>
    <n v="113701.2"/>
  </r>
  <r>
    <x v="155"/>
    <s v="2023-11-29"/>
    <x v="0"/>
    <x v="0"/>
    <x v="0"/>
    <s v="Headphones"/>
    <s v="Sony WH-1000XM4"/>
    <n v="3"/>
    <n v="42716"/>
    <n v="0.04"/>
    <x v="0"/>
    <x v="5"/>
    <n v="128148"/>
    <n v="5125.92"/>
    <n v="123022.08"/>
  </r>
  <r>
    <x v="156"/>
    <s v="2023-05-27"/>
    <x v="3"/>
    <x v="8"/>
    <x v="3"/>
    <s v="Jeans"/>
    <s v="Slim Fit"/>
    <n v="3"/>
    <n v="18391"/>
    <n v="0.2"/>
    <x v="1"/>
    <x v="6"/>
    <n v="55173"/>
    <n v="11034.6"/>
    <n v="44138.400000000001"/>
  </r>
  <r>
    <x v="157"/>
    <s v="2023-01-25"/>
    <x v="0"/>
    <x v="11"/>
    <x v="1"/>
    <s v="Chair"/>
    <s v="Ergo Chair"/>
    <n v="3"/>
    <n v="24944"/>
    <n v="0.12"/>
    <x v="1"/>
    <x v="0"/>
    <n v="74832"/>
    <n v="8979.84"/>
    <n v="65852.160000000003"/>
  </r>
  <r>
    <x v="158"/>
    <s v="2023-07-24"/>
    <x v="1"/>
    <x v="6"/>
    <x v="1"/>
    <s v="Table"/>
    <s v="Dining Table"/>
    <n v="7"/>
    <n v="38621"/>
    <n v="0.19"/>
    <x v="1"/>
    <x v="2"/>
    <n v="270347"/>
    <n v="51365.93"/>
    <n v="218981.07"/>
  </r>
  <r>
    <x v="159"/>
    <s v="2023-03-08"/>
    <x v="3"/>
    <x v="9"/>
    <x v="0"/>
    <s v="Laptop"/>
    <s v="HP Pavilion"/>
    <n v="7"/>
    <n v="14633"/>
    <n v="0.15"/>
    <x v="1"/>
    <x v="2"/>
    <n v="102431"/>
    <n v="15364.65"/>
    <n v="87066.35"/>
  </r>
  <r>
    <x v="160"/>
    <s v="2023-11-13"/>
    <x v="2"/>
    <x v="2"/>
    <x v="3"/>
    <s v="Shirt"/>
    <s v="Linen Shirt"/>
    <n v="2"/>
    <n v="12959"/>
    <n v="0.01"/>
    <x v="1"/>
    <x v="3"/>
    <n v="25918"/>
    <n v="259.18"/>
    <n v="25658.82"/>
  </r>
  <r>
    <x v="161"/>
    <s v="2023-01-01"/>
    <x v="3"/>
    <x v="8"/>
    <x v="3"/>
    <s v="Jacket"/>
    <s v="Leather Jacket"/>
    <n v="8"/>
    <n v="31878"/>
    <n v="0.18"/>
    <x v="0"/>
    <x v="3"/>
    <n v="255024"/>
    <n v="45904.32"/>
    <n v="209119.68"/>
  </r>
  <r>
    <x v="162"/>
    <s v="2023-02-16"/>
    <x v="3"/>
    <x v="13"/>
    <x v="1"/>
    <s v="Sofa"/>
    <s v="Fabric Sofa"/>
    <n v="10"/>
    <n v="48632"/>
    <n v="0.09"/>
    <x v="1"/>
    <x v="5"/>
    <n v="486320"/>
    <n v="43768.799999999996"/>
    <n v="442551.2"/>
  </r>
  <r>
    <x v="163"/>
    <s v="2023-10-11"/>
    <x v="1"/>
    <x v="6"/>
    <x v="1"/>
    <s v="Table"/>
    <s v="Coffee Table"/>
    <n v="9"/>
    <n v="9040"/>
    <n v="0.04"/>
    <x v="0"/>
    <x v="1"/>
    <n v="81360"/>
    <n v="3254.4"/>
    <n v="78105.600000000006"/>
  </r>
  <r>
    <x v="164"/>
    <s v="2023-07-16"/>
    <x v="0"/>
    <x v="0"/>
    <x v="0"/>
    <s v="Mobile"/>
    <s v="Samsung S21"/>
    <n v="1"/>
    <n v="43890"/>
    <n v="0.2"/>
    <x v="0"/>
    <x v="2"/>
    <n v="43890"/>
    <n v="8778"/>
    <n v="35112"/>
  </r>
  <r>
    <x v="165"/>
    <s v="2023-12-10"/>
    <x v="2"/>
    <x v="5"/>
    <x v="0"/>
    <s v="Mobile"/>
    <s v="Redmi Note 12"/>
    <n v="6"/>
    <n v="1457"/>
    <n v="0.14000000000000001"/>
    <x v="0"/>
    <x v="1"/>
    <n v="8742"/>
    <n v="1223.8800000000001"/>
    <n v="7518.12"/>
  </r>
  <r>
    <x v="166"/>
    <s v="2023-11-13"/>
    <x v="3"/>
    <x v="9"/>
    <x v="0"/>
    <s v="Monitor"/>
    <s v="Samsung Curved"/>
    <n v="4"/>
    <n v="2250"/>
    <n v="0.03"/>
    <x v="0"/>
    <x v="4"/>
    <n v="9000"/>
    <n v="270"/>
    <n v="8730"/>
  </r>
  <r>
    <x v="167"/>
    <s v="2023-03-13"/>
    <x v="3"/>
    <x v="9"/>
    <x v="1"/>
    <s v="Sofa"/>
    <s v="Fabric Sofa"/>
    <n v="6"/>
    <n v="34396"/>
    <n v="0.11"/>
    <x v="0"/>
    <x v="4"/>
    <n v="206376"/>
    <n v="22701.360000000001"/>
    <n v="183674.64"/>
  </r>
  <r>
    <x v="168"/>
    <s v="2023-09-20"/>
    <x v="0"/>
    <x v="0"/>
    <x v="3"/>
    <s v="T-Shirt"/>
    <s v="Cotton Tee"/>
    <n v="9"/>
    <n v="5209"/>
    <n v="0.18"/>
    <x v="0"/>
    <x v="0"/>
    <n v="46881"/>
    <n v="8438.58"/>
    <n v="38442.42"/>
  </r>
  <r>
    <x v="169"/>
    <s v="2023-11-26"/>
    <x v="1"/>
    <x v="14"/>
    <x v="1"/>
    <s v="Chair"/>
    <s v="Office Chair Pro"/>
    <n v="9"/>
    <n v="19599"/>
    <n v="0.18"/>
    <x v="1"/>
    <x v="3"/>
    <n v="176391"/>
    <n v="31750.379999999997"/>
    <n v="144640.62"/>
  </r>
  <r>
    <x v="170"/>
    <s v="2023-09-17"/>
    <x v="3"/>
    <x v="8"/>
    <x v="0"/>
    <s v="Laptop"/>
    <s v="Acer Aspire 5"/>
    <n v="5"/>
    <n v="15421"/>
    <n v="0.12"/>
    <x v="0"/>
    <x v="0"/>
    <n v="77105"/>
    <n v="9252.6"/>
    <n v="67852.399999999994"/>
  </r>
  <r>
    <x v="171"/>
    <s v="2023-06-05"/>
    <x v="3"/>
    <x v="7"/>
    <x v="2"/>
    <s v="Milk"/>
    <s v="Full Cream Milk"/>
    <n v="6"/>
    <n v="22509"/>
    <n v="0.08"/>
    <x v="1"/>
    <x v="4"/>
    <n v="135054"/>
    <n v="10804.32"/>
    <n v="124249.68"/>
  </r>
  <r>
    <x v="172"/>
    <s v="2023-10-12"/>
    <x v="2"/>
    <x v="5"/>
    <x v="3"/>
    <s v="T-Shirt"/>
    <s v="Sports Tee"/>
    <n v="8"/>
    <n v="38709"/>
    <n v="0.04"/>
    <x v="1"/>
    <x v="0"/>
    <n v="309672"/>
    <n v="12386.880000000001"/>
    <n v="297285.12"/>
  </r>
  <r>
    <x v="173"/>
    <s v="2023-01-03"/>
    <x v="1"/>
    <x v="6"/>
    <x v="2"/>
    <s v="Rice"/>
    <s v="Basmati Rice"/>
    <n v="10"/>
    <n v="34366"/>
    <n v="0.16"/>
    <x v="1"/>
    <x v="7"/>
    <n v="343660"/>
    <n v="54985.599999999999"/>
    <n v="288674.40000000002"/>
  </r>
  <r>
    <x v="174"/>
    <s v="2023-10-03"/>
    <x v="0"/>
    <x v="0"/>
    <x v="3"/>
    <s v="Jacket"/>
    <s v="Hooded Jacket"/>
    <n v="2"/>
    <n v="25509"/>
    <n v="0.02"/>
    <x v="0"/>
    <x v="3"/>
    <n v="51018"/>
    <n v="1020.36"/>
    <n v="49997.64"/>
  </r>
  <r>
    <x v="175"/>
    <s v="2023-12-15"/>
    <x v="1"/>
    <x v="10"/>
    <x v="3"/>
    <s v="Shirt"/>
    <s v="Formal Shirt"/>
    <n v="10"/>
    <n v="17752"/>
    <n v="0.02"/>
    <x v="0"/>
    <x v="3"/>
    <n v="177520"/>
    <n v="3550.4"/>
    <n v="173969.6"/>
  </r>
  <r>
    <x v="176"/>
    <s v="2023-12-19"/>
    <x v="0"/>
    <x v="11"/>
    <x v="2"/>
    <s v="Snacks"/>
    <s v="Biscuits"/>
    <n v="6"/>
    <n v="15623"/>
    <n v="7.0000000000000007E-2"/>
    <x v="0"/>
    <x v="5"/>
    <n v="93738"/>
    <n v="6561.6600000000008"/>
    <n v="87176.34"/>
  </r>
  <r>
    <x v="177"/>
    <s v="2023-03-23"/>
    <x v="3"/>
    <x v="7"/>
    <x v="2"/>
    <s v="Milk"/>
    <s v="Cow Milk"/>
    <n v="1"/>
    <n v="32685"/>
    <n v="0.09"/>
    <x v="0"/>
    <x v="0"/>
    <n v="32685"/>
    <n v="2941.65"/>
    <n v="29743.35"/>
  </r>
  <r>
    <x v="178"/>
    <s v="2023-11-13"/>
    <x v="2"/>
    <x v="3"/>
    <x v="3"/>
    <s v="Jeans"/>
    <s v="Slim Fit"/>
    <n v="4"/>
    <n v="9686"/>
    <n v="0.12"/>
    <x v="0"/>
    <x v="7"/>
    <n v="38744"/>
    <n v="4649.28"/>
    <n v="34094.720000000001"/>
  </r>
  <r>
    <x v="179"/>
    <s v="2023-05-04"/>
    <x v="2"/>
    <x v="5"/>
    <x v="2"/>
    <s v="Oil"/>
    <s v="Olive Oil"/>
    <n v="9"/>
    <n v="33987"/>
    <n v="0.09"/>
    <x v="1"/>
    <x v="5"/>
    <n v="305883"/>
    <n v="27529.469999999998"/>
    <n v="278353.53000000003"/>
  </r>
  <r>
    <x v="180"/>
    <s v="2023-05-03"/>
    <x v="1"/>
    <x v="6"/>
    <x v="0"/>
    <s v="Laptop"/>
    <s v="Dell Inspiron"/>
    <n v="1"/>
    <n v="1413"/>
    <n v="0.06"/>
    <x v="0"/>
    <x v="2"/>
    <n v="1413"/>
    <n v="84.78"/>
    <n v="1328.22"/>
  </r>
  <r>
    <x v="181"/>
    <s v="2023-09-19"/>
    <x v="3"/>
    <x v="8"/>
    <x v="2"/>
    <s v="Oil"/>
    <s v="Olive Oil"/>
    <n v="7"/>
    <n v="20994"/>
    <n v="0.17"/>
    <x v="1"/>
    <x v="0"/>
    <n v="146958"/>
    <n v="24982.86"/>
    <n v="121975.14"/>
  </r>
  <r>
    <x v="182"/>
    <s v="2023-05-19"/>
    <x v="0"/>
    <x v="15"/>
    <x v="3"/>
    <s v="T-Shirt"/>
    <s v="Sports Tee"/>
    <n v="7"/>
    <n v="26427"/>
    <n v="0.11"/>
    <x v="1"/>
    <x v="0"/>
    <n v="184989"/>
    <n v="20348.79"/>
    <n v="164640.21"/>
  </r>
  <r>
    <x v="183"/>
    <s v="2023-06-10"/>
    <x v="1"/>
    <x v="1"/>
    <x v="1"/>
    <s v="Sofa"/>
    <s v="3-Seater Sofa"/>
    <n v="5"/>
    <n v="27705"/>
    <n v="0"/>
    <x v="1"/>
    <x v="1"/>
    <n v="138525"/>
    <n v="0"/>
    <n v="138525"/>
  </r>
  <r>
    <x v="184"/>
    <s v="2023-03-08"/>
    <x v="3"/>
    <x v="8"/>
    <x v="1"/>
    <s v="Sofa"/>
    <s v="3-Seater Sofa"/>
    <n v="1"/>
    <n v="1050"/>
    <n v="0.08"/>
    <x v="0"/>
    <x v="3"/>
    <n v="1050"/>
    <n v="84"/>
    <n v="966"/>
  </r>
  <r>
    <x v="185"/>
    <s v="2023-08-06"/>
    <x v="2"/>
    <x v="3"/>
    <x v="3"/>
    <s v="Shirt"/>
    <s v="Linen Shirt"/>
    <n v="6"/>
    <n v="41673"/>
    <n v="0.01"/>
    <x v="0"/>
    <x v="4"/>
    <n v="250038"/>
    <n v="2500.38"/>
    <n v="247537.62"/>
  </r>
  <r>
    <x v="186"/>
    <s v="2023-03-01"/>
    <x v="1"/>
    <x v="14"/>
    <x v="2"/>
    <s v="Snacks"/>
    <s v="Nachos"/>
    <n v="9"/>
    <n v="37083"/>
    <n v="0.04"/>
    <x v="1"/>
    <x v="7"/>
    <n v="333747"/>
    <n v="13349.880000000001"/>
    <n v="320397.12"/>
  </r>
  <r>
    <x v="187"/>
    <s v="2023-06-02"/>
    <x v="0"/>
    <x v="11"/>
    <x v="0"/>
    <s v="Laptop"/>
    <s v="Dell Inspiron"/>
    <n v="6"/>
    <n v="20936"/>
    <n v="7.0000000000000007E-2"/>
    <x v="0"/>
    <x v="6"/>
    <n v="125616"/>
    <n v="8793.1200000000008"/>
    <n v="116822.88"/>
  </r>
  <r>
    <x v="188"/>
    <s v="2023-12-14"/>
    <x v="2"/>
    <x v="2"/>
    <x v="1"/>
    <s v="Chair"/>
    <s v="Ergo Chair"/>
    <n v="1"/>
    <n v="676"/>
    <n v="0"/>
    <x v="0"/>
    <x v="4"/>
    <n v="676"/>
    <n v="0"/>
    <n v="676"/>
  </r>
  <r>
    <x v="189"/>
    <s v="2023-10-29"/>
    <x v="3"/>
    <x v="9"/>
    <x v="2"/>
    <s v="Oil"/>
    <s v="Sunflower Oil"/>
    <n v="2"/>
    <n v="47109"/>
    <n v="0.15"/>
    <x v="0"/>
    <x v="7"/>
    <n v="94218"/>
    <n v="14132.699999999999"/>
    <n v="80085.3"/>
  </r>
  <r>
    <x v="190"/>
    <s v="2023-02-08"/>
    <x v="0"/>
    <x v="15"/>
    <x v="3"/>
    <s v="Jacket"/>
    <s v="Windcheater"/>
    <n v="7"/>
    <n v="17133"/>
    <n v="0.06"/>
    <x v="0"/>
    <x v="3"/>
    <n v="119931"/>
    <n v="7195.86"/>
    <n v="112735.14"/>
  </r>
  <r>
    <x v="191"/>
    <s v="2023-06-26"/>
    <x v="3"/>
    <x v="9"/>
    <x v="1"/>
    <s v="Chair"/>
    <s v="Wooden Chair"/>
    <n v="5"/>
    <n v="17004"/>
    <n v="0.05"/>
    <x v="0"/>
    <x v="6"/>
    <n v="85020"/>
    <n v="4251"/>
    <n v="80769"/>
  </r>
  <r>
    <x v="192"/>
    <s v="2023-07-04"/>
    <x v="3"/>
    <x v="8"/>
    <x v="3"/>
    <s v="Shirt"/>
    <s v="Casual Shirt"/>
    <n v="8"/>
    <n v="39371"/>
    <n v="0.18"/>
    <x v="1"/>
    <x v="5"/>
    <n v="314968"/>
    <n v="56694.239999999998"/>
    <n v="258273.76"/>
  </r>
  <r>
    <x v="193"/>
    <s v="2023-05-06"/>
    <x v="3"/>
    <x v="8"/>
    <x v="1"/>
    <s v="Sofa"/>
    <s v="Fabric Sofa"/>
    <n v="1"/>
    <n v="29158"/>
    <n v="0.11"/>
    <x v="1"/>
    <x v="2"/>
    <n v="29158"/>
    <n v="3207.38"/>
    <n v="25950.62"/>
  </r>
  <r>
    <x v="194"/>
    <s v="2023-06-12"/>
    <x v="0"/>
    <x v="12"/>
    <x v="3"/>
    <s v="Jeans"/>
    <s v="Slim Fit"/>
    <n v="3"/>
    <n v="3114"/>
    <n v="0.15"/>
    <x v="1"/>
    <x v="6"/>
    <n v="9342"/>
    <n v="1401.3"/>
    <n v="7940.7"/>
  </r>
  <r>
    <x v="195"/>
    <s v="2023-10-09"/>
    <x v="1"/>
    <x v="6"/>
    <x v="2"/>
    <s v="Oil"/>
    <s v="Sunflower Oil"/>
    <n v="10"/>
    <n v="26511"/>
    <n v="0.05"/>
    <x v="0"/>
    <x v="6"/>
    <n v="265110"/>
    <n v="13255.5"/>
    <n v="251854.5"/>
  </r>
  <r>
    <x v="196"/>
    <s v="2023-11-06"/>
    <x v="2"/>
    <x v="5"/>
    <x v="3"/>
    <s v="Jacket"/>
    <s v="Hooded Jacket"/>
    <n v="8"/>
    <n v="44501"/>
    <n v="0.19"/>
    <x v="0"/>
    <x v="7"/>
    <n v="356008"/>
    <n v="67641.52"/>
    <n v="288366.48"/>
  </r>
  <r>
    <x v="197"/>
    <s v="2023-08-31"/>
    <x v="2"/>
    <x v="5"/>
    <x v="3"/>
    <s v="Jacket"/>
    <s v="Hooded Jacket"/>
    <n v="4"/>
    <n v="14660"/>
    <n v="0.04"/>
    <x v="1"/>
    <x v="6"/>
    <n v="58640"/>
    <n v="2345.6"/>
    <n v="56294.400000000001"/>
  </r>
  <r>
    <x v="198"/>
    <s v="2023-05-29"/>
    <x v="3"/>
    <x v="13"/>
    <x v="0"/>
    <s v="Monitor"/>
    <s v="LG UltraWide"/>
    <n v="5"/>
    <n v="21924"/>
    <n v="0.17"/>
    <x v="0"/>
    <x v="2"/>
    <n v="109620"/>
    <n v="18635.400000000001"/>
    <n v="90984.6"/>
  </r>
  <r>
    <x v="199"/>
    <s v="2023-08-20"/>
    <x v="3"/>
    <x v="9"/>
    <x v="3"/>
    <s v="Jacket"/>
    <s v="Leather Jacket"/>
    <n v="7"/>
    <n v="43886"/>
    <n v="7.0000000000000007E-2"/>
    <x v="1"/>
    <x v="7"/>
    <n v="307202"/>
    <n v="21504.140000000003"/>
    <n v="285697.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3DF45D-C1A4-43D9-970D-2DEEC2F7E12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D13" firstHeaderRow="0" firstDataRow="1" firstDataCol="1"/>
  <pivotFields count="15">
    <pivotField showAll="0"/>
    <pivotField showAll="0"/>
    <pivotField axis="axisRow" showAll="0">
      <items count="5">
        <item x="0"/>
        <item x="1"/>
        <item x="2"/>
        <item x="3"/>
        <item t="default"/>
      </items>
    </pivotField>
    <pivotField showAll="0"/>
    <pivotField showAll="0">
      <items count="5">
        <item x="3"/>
        <item x="0"/>
        <item x="1"/>
        <item x="2"/>
        <item t="default"/>
      </items>
    </pivotField>
    <pivotField showAll="0"/>
    <pivotField showAll="0"/>
    <pivotField dataField="1" numFmtId="1" showAll="0"/>
    <pivotField numFmtId="164" showAll="0"/>
    <pivotField numFmtId="2" showAll="0"/>
    <pivotField showAll="0">
      <items count="3">
        <item x="1"/>
        <item x="0"/>
        <item t="default"/>
      </items>
    </pivotField>
    <pivotField showAll="0">
      <items count="9">
        <item x="4"/>
        <item x="1"/>
        <item x="0"/>
        <item x="7"/>
        <item x="3"/>
        <item x="2"/>
        <item x="6"/>
        <item x="5"/>
        <item t="default"/>
      </items>
    </pivotField>
    <pivotField numFmtId="164" showAll="0"/>
    <pivotField numFmtId="164" showAll="0"/>
    <pivotField dataField="1" numFmtId="164" showAll="0"/>
  </pivotFields>
  <rowFields count="1">
    <field x="2"/>
  </rowFields>
  <rowItems count="5">
    <i>
      <x/>
    </i>
    <i>
      <x v="1"/>
    </i>
    <i>
      <x v="2"/>
    </i>
    <i>
      <x v="3"/>
    </i>
    <i t="grand">
      <x/>
    </i>
  </rowItems>
  <colFields count="1">
    <field x="-2"/>
  </colFields>
  <colItems count="2">
    <i>
      <x/>
    </i>
    <i i="1">
      <x v="1"/>
    </i>
  </colItems>
  <dataFields count="2">
    <dataField name="Sum of Sale_After_Discount" fld="14" baseField="0" baseItem="0" numFmtId="165"/>
    <dataField name="Sum of Quantity" fld="7" baseField="0" baseItem="0" numFmtId="1"/>
  </dataFields>
  <formats count="8">
    <format dxfId="80">
      <pivotArea type="all" dataOnly="0" outline="0" fieldPosition="0"/>
    </format>
    <format dxfId="79">
      <pivotArea outline="0" collapsedLevelsAreSubtotals="1" fieldPosition="0"/>
    </format>
    <format dxfId="78">
      <pivotArea field="2" type="button" dataOnly="0" labelOnly="1" outline="0" axis="axisRow" fieldPosition="0"/>
    </format>
    <format dxfId="77">
      <pivotArea dataOnly="0" labelOnly="1" fieldPosition="0">
        <references count="1">
          <reference field="2" count="0"/>
        </references>
      </pivotArea>
    </format>
    <format dxfId="76">
      <pivotArea dataOnly="0" labelOnly="1" grandRow="1" outline="0" fieldPosition="0"/>
    </format>
    <format dxfId="75">
      <pivotArea dataOnly="0" labelOnly="1" outline="0" fieldPosition="0">
        <references count="1">
          <reference field="4294967294" count="2">
            <x v="0"/>
            <x v="1"/>
          </reference>
        </references>
      </pivotArea>
    </format>
    <format dxfId="74">
      <pivotArea outline="0" collapsedLevelsAreSubtotals="1" fieldPosition="0">
        <references count="1">
          <reference field="4294967294" count="1" selected="0">
            <x v="0"/>
          </reference>
        </references>
      </pivotArea>
    </format>
    <format dxfId="73">
      <pivotArea collapsedLevelsAreSubtotals="1" fieldPosition="0">
        <references count="2">
          <reference field="4294967294" count="1" selected="0">
            <x v="0"/>
          </reference>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EC8F36-8F5B-4B45-9186-82EA326F8B3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90:D291" firstHeaderRow="0" firstDataRow="1" firstDataCol="1"/>
  <pivotFields count="15">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items count="5">
        <item x="0"/>
        <item x="1"/>
        <item x="2"/>
        <item x="3"/>
        <item t="default"/>
      </items>
    </pivotField>
    <pivotField showAll="0">
      <items count="17">
        <item x="12"/>
        <item x="0"/>
        <item x="1"/>
        <item x="7"/>
        <item x="9"/>
        <item x="6"/>
        <item x="5"/>
        <item x="3"/>
        <item x="13"/>
        <item x="15"/>
        <item x="10"/>
        <item x="8"/>
        <item x="2"/>
        <item x="4"/>
        <item x="14"/>
        <item x="11"/>
        <item t="default"/>
      </items>
    </pivotField>
    <pivotField showAll="0">
      <items count="5">
        <item x="3"/>
        <item x="0"/>
        <item x="1"/>
        <item x="2"/>
        <item t="default"/>
      </items>
    </pivotField>
    <pivotField showAll="0"/>
    <pivotField showAll="0"/>
    <pivotField numFmtId="1" showAll="0"/>
    <pivotField numFmtId="164" showAll="0"/>
    <pivotField dataField="1" numFmtId="2" showAll="0"/>
    <pivotField showAll="0">
      <items count="3">
        <item x="1"/>
        <item x="0"/>
        <item t="default"/>
      </items>
    </pivotField>
    <pivotField showAll="0">
      <items count="9">
        <item x="4"/>
        <item x="1"/>
        <item x="0"/>
        <item x="7"/>
        <item x="3"/>
        <item x="2"/>
        <item x="6"/>
        <item x="5"/>
        <item t="default"/>
      </items>
    </pivotField>
    <pivotField dataField="1" numFmtId="164" showAll="0"/>
    <pivotField numFmtId="164" showAll="0"/>
    <pivotField numFmtId="164" showAll="0"/>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Fields count="1">
    <field x="-2"/>
  </colFields>
  <colItems count="2">
    <i>
      <x/>
    </i>
    <i i="1">
      <x v="1"/>
    </i>
  </colItems>
  <dataFields count="2">
    <dataField name="Sum of Sales" fld="12" baseField="0" baseItem="0" numFmtId="166"/>
    <dataField name="Average of Discount" fld="9" subtotal="average" baseField="0" baseItem="0" numFmtId="2"/>
  </dataFields>
  <formats count="8">
    <format dxfId="88">
      <pivotArea type="all" dataOnly="0" outline="0" fieldPosition="0"/>
    </format>
    <format dxfId="87">
      <pivotArea field="2" type="button" dataOnly="0" labelOnly="1" outline="0"/>
    </format>
    <format dxfId="86">
      <pivotArea type="all" dataOnly="0" outline="0" fieldPosition="0"/>
    </format>
    <format dxfId="85">
      <pivotArea outline="0" collapsedLevelsAreSubtotals="1" fieldPosition="0"/>
    </format>
    <format dxfId="84">
      <pivotArea field="3" type="button" dataOnly="0" labelOnly="1" outline="0"/>
    </format>
    <format dxfId="83">
      <pivotArea dataOnly="0" labelOnly="1" grandRow="1" outline="0" fieldPosition="0"/>
    </format>
    <format dxfId="82">
      <pivotArea dataOnly="0" labelOnly="1" outline="0" axis="axisValues" fieldPosition="0"/>
    </format>
    <format dxfId="8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C7DE09-DBCD-4F88-9842-F833165A1BB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75:C81" firstHeaderRow="1" firstDataRow="1" firstDataCol="1"/>
  <pivotFields count="15">
    <pivotField showAll="0"/>
    <pivotField showAll="0"/>
    <pivotField showAll="0">
      <items count="5">
        <item x="0"/>
        <item x="1"/>
        <item x="2"/>
        <item x="3"/>
        <item t="default"/>
      </items>
    </pivotField>
    <pivotField axis="axisRow" showAll="0" measureFilter="1" sortType="descending">
      <items count="17">
        <item x="12"/>
        <item x="0"/>
        <item x="1"/>
        <item x="7"/>
        <item x="9"/>
        <item x="6"/>
        <item x="5"/>
        <item x="3"/>
        <item x="13"/>
        <item x="15"/>
        <item x="10"/>
        <item x="8"/>
        <item x="2"/>
        <item x="4"/>
        <item x="14"/>
        <item x="11"/>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pivotField numFmtId="1" showAll="0"/>
    <pivotField numFmtId="164" showAll="0"/>
    <pivotField numFmtId="2" showAll="0"/>
    <pivotField showAll="0">
      <items count="3">
        <item x="1"/>
        <item x="0"/>
        <item t="default"/>
      </items>
    </pivotField>
    <pivotField showAll="0">
      <items count="9">
        <item x="4"/>
        <item x="1"/>
        <item x="0"/>
        <item x="7"/>
        <item x="3"/>
        <item x="2"/>
        <item x="6"/>
        <item x="5"/>
        <item t="default"/>
      </items>
    </pivotField>
    <pivotField numFmtId="164" showAll="0"/>
    <pivotField numFmtId="164" showAll="0"/>
    <pivotField dataField="1" numFmtId="164" showAll="0"/>
  </pivotFields>
  <rowFields count="1">
    <field x="3"/>
  </rowFields>
  <rowItems count="6">
    <i>
      <x v="5"/>
    </i>
    <i>
      <x v="8"/>
    </i>
    <i>
      <x v="11"/>
    </i>
    <i>
      <x v="7"/>
    </i>
    <i>
      <x v="2"/>
    </i>
    <i t="grand">
      <x/>
    </i>
  </rowItems>
  <colItems count="1">
    <i/>
  </colItems>
  <dataFields count="1">
    <dataField name="Sum of Sale_After_Discount" fld="14" baseField="0" baseItem="0" numFmtId="165"/>
  </dataFields>
  <formats count="10">
    <format dxfId="98">
      <pivotArea type="all" dataOnly="0" outline="0" fieldPosition="0"/>
    </format>
    <format dxfId="97">
      <pivotArea field="2" type="button" dataOnly="0" labelOnly="1" outline="0"/>
    </format>
    <format dxfId="96">
      <pivotArea dataOnly="0" labelOnly="1" outline="0" fieldPosition="0">
        <references count="1">
          <reference field="4294967294" count="1">
            <x v="0"/>
          </reference>
        </references>
      </pivotArea>
    </format>
    <format dxfId="95">
      <pivotArea outline="0" collapsedLevelsAreSubtotals="1" fieldPosition="0">
        <references count="1">
          <reference field="4294967294" count="1" selected="0">
            <x v="0"/>
          </reference>
        </references>
      </pivotArea>
    </format>
    <format dxfId="94">
      <pivotArea type="all" dataOnly="0" outline="0" fieldPosition="0"/>
    </format>
    <format dxfId="93">
      <pivotArea outline="0" collapsedLevelsAreSubtotals="1" fieldPosition="0"/>
    </format>
    <format dxfId="92">
      <pivotArea field="3" type="button" dataOnly="0" labelOnly="1" outline="0" axis="axisRow" fieldPosition="0"/>
    </format>
    <format dxfId="91">
      <pivotArea dataOnly="0" labelOnly="1" fieldPosition="0">
        <references count="1">
          <reference field="3" count="5">
            <x v="2"/>
            <x v="5"/>
            <x v="7"/>
            <x v="8"/>
            <x v="11"/>
          </reference>
        </references>
      </pivotArea>
    </format>
    <format dxfId="90">
      <pivotArea dataOnly="0" labelOnly="1" grandRow="1" outline="0" fieldPosition="0"/>
    </format>
    <format dxfId="8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443AEE-108D-48C0-ADDD-1856DDF1C92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5:C42" firstHeaderRow="1" firstDataRow="1" firstDataCol="1"/>
  <pivotFields count="15">
    <pivotField showAll="0"/>
    <pivotField showAll="0"/>
    <pivotField showAll="0">
      <items count="5">
        <item x="0"/>
        <item x="1"/>
        <item x="2"/>
        <item x="3"/>
        <item t="default"/>
      </items>
    </pivotField>
    <pivotField axis="axisRow" showAll="0">
      <items count="17">
        <item x="12"/>
        <item x="0"/>
        <item x="1"/>
        <item x="7"/>
        <item x="9"/>
        <item x="6"/>
        <item x="5"/>
        <item x="3"/>
        <item x="13"/>
        <item x="15"/>
        <item x="10"/>
        <item x="8"/>
        <item x="2"/>
        <item x="4"/>
        <item x="14"/>
        <item x="11"/>
        <item t="default"/>
      </items>
    </pivotField>
    <pivotField showAll="0">
      <items count="5">
        <item x="3"/>
        <item x="0"/>
        <item x="1"/>
        <item x="2"/>
        <item t="default"/>
      </items>
    </pivotField>
    <pivotField showAll="0"/>
    <pivotField showAll="0"/>
    <pivotField numFmtId="1" showAll="0"/>
    <pivotField numFmtId="164" showAll="0"/>
    <pivotField numFmtId="2" showAll="0"/>
    <pivotField showAll="0">
      <items count="3">
        <item x="1"/>
        <item x="0"/>
        <item t="default"/>
      </items>
    </pivotField>
    <pivotField showAll="0">
      <items count="9">
        <item x="4"/>
        <item x="1"/>
        <item x="0"/>
        <item x="7"/>
        <item x="3"/>
        <item x="2"/>
        <item x="6"/>
        <item x="5"/>
        <item t="default"/>
      </items>
    </pivotField>
    <pivotField numFmtId="164" showAll="0"/>
    <pivotField numFmtId="164" showAll="0"/>
    <pivotField dataField="1" numFmtId="164"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Sale_After_Discount" fld="14" baseField="0" baseItem="0" numFmtId="165"/>
  </dataFields>
  <formats count="10">
    <format dxfId="108">
      <pivotArea type="all" dataOnly="0" outline="0" fieldPosition="0"/>
    </format>
    <format dxfId="107">
      <pivotArea field="2" type="button" dataOnly="0" labelOnly="1" outline="0"/>
    </format>
    <format dxfId="106">
      <pivotArea dataOnly="0" labelOnly="1" outline="0" fieldPosition="0">
        <references count="1">
          <reference field="4294967294" count="1">
            <x v="0"/>
          </reference>
        </references>
      </pivotArea>
    </format>
    <format dxfId="105">
      <pivotArea outline="0" collapsedLevelsAreSubtotals="1" fieldPosition="0">
        <references count="1">
          <reference field="4294967294" count="1" selected="0">
            <x v="0"/>
          </reference>
        </references>
      </pivotArea>
    </format>
    <format dxfId="104">
      <pivotArea type="all" dataOnly="0" outline="0" fieldPosition="0"/>
    </format>
    <format dxfId="103">
      <pivotArea outline="0" collapsedLevelsAreSubtotals="1" fieldPosition="0"/>
    </format>
    <format dxfId="102">
      <pivotArea field="3" type="button" dataOnly="0" labelOnly="1" outline="0" axis="axisRow" fieldPosition="0"/>
    </format>
    <format dxfId="101">
      <pivotArea dataOnly="0" labelOnly="1" fieldPosition="0">
        <references count="1">
          <reference field="3" count="0"/>
        </references>
      </pivotArea>
    </format>
    <format dxfId="100">
      <pivotArea dataOnly="0" labelOnly="1" grandRow="1" outline="0" fieldPosition="0"/>
    </format>
    <format dxfId="9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2D9791-957A-46BF-B40B-E5FC3DB7BB9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pivotFields count="15">
    <pivotField dataField="1" showAll="0"/>
    <pivotField showAll="0"/>
    <pivotField showAll="0"/>
    <pivotField showAll="0"/>
    <pivotField showAll="0"/>
    <pivotField showAll="0"/>
    <pivotField showAll="0"/>
    <pivotField numFmtId="1" showAll="0"/>
    <pivotField numFmtId="164" showAll="0"/>
    <pivotField numFmtId="2" showAll="0"/>
    <pivotField showAll="0"/>
    <pivotField showAll="0"/>
    <pivotField numFmtId="164" showAll="0"/>
    <pivotField numFmtId="164" showAll="0"/>
    <pivotField numFmtId="164" showAll="0"/>
  </pivotFields>
  <rowItems count="1">
    <i/>
  </rowItems>
  <colItems count="1">
    <i/>
  </colItems>
  <dataFields count="1">
    <dataField name="Count of OrderID" fld="0" subtotal="count" baseField="0" baseItem="0"/>
  </dataFields>
  <formats count="3">
    <format dxfId="30">
      <pivotArea type="all" dataOnly="0" outline="0" fieldPosition="0"/>
    </format>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FCB5FD-29AC-4989-A1EC-8B22E995D7C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6" firstHeaderRow="1" firstDataRow="1" firstDataCol="1"/>
  <pivotFields count="15">
    <pivotField showAll="0"/>
    <pivotField showAll="0"/>
    <pivotField showAll="0"/>
    <pivotField showAll="0"/>
    <pivotField showAll="0"/>
    <pivotField showAll="0"/>
    <pivotField showAll="0"/>
    <pivotField numFmtId="1" showAll="0"/>
    <pivotField numFmtId="164" showAll="0"/>
    <pivotField numFmtId="2" showAll="0"/>
    <pivotField showAll="0"/>
    <pivotField axis="axisRow" showAll="0" measureFilter="1">
      <items count="9">
        <item x="4"/>
        <item x="1"/>
        <item x="0"/>
        <item x="7"/>
        <item x="3"/>
        <item x="2"/>
        <item x="6"/>
        <item x="5"/>
        <item t="default"/>
      </items>
    </pivotField>
    <pivotField numFmtId="164" showAll="0"/>
    <pivotField numFmtId="164" showAll="0"/>
    <pivotField dataField="1" numFmtId="164" showAll="0"/>
  </pivotFields>
  <rowFields count="1">
    <field x="11"/>
  </rowFields>
  <rowItems count="2">
    <i>
      <x v="7"/>
    </i>
    <i t="grand">
      <x/>
    </i>
  </rowItems>
  <colItems count="1">
    <i/>
  </colItems>
  <dataFields count="1">
    <dataField name="Sum of Sale_After_Discount" fld="14" baseField="0" baseItem="0" numFmtId="164"/>
  </dataFields>
  <formats count="10">
    <format dxfId="40">
      <pivotArea type="all" dataOnly="0" outline="0" fieldPosition="0"/>
    </format>
    <format dxfId="39">
      <pivotArea dataOnly="0" labelOnly="1" fieldPosition="0">
        <references count="1">
          <reference field="11" count="0"/>
        </references>
      </pivotArea>
    </format>
    <format dxfId="38">
      <pivotArea dataOnly="0" labelOnly="1" outline="0" fieldPosition="0">
        <references count="1">
          <reference field="4294967294" count="1">
            <x v="0"/>
          </reference>
        </references>
      </pivotArea>
    </format>
    <format dxfId="37">
      <pivotArea collapsedLevelsAreSubtotals="1" fieldPosition="0">
        <references count="2">
          <reference field="4294967294" count="1" selected="0">
            <x v="0"/>
          </reference>
          <reference field="11" count="0"/>
        </references>
      </pivotArea>
    </format>
    <format dxfId="36">
      <pivotArea type="all" dataOnly="0" outline="0" fieldPosition="0"/>
    </format>
    <format dxfId="35">
      <pivotArea outline="0" collapsedLevelsAreSubtotals="1" fieldPosition="0"/>
    </format>
    <format dxfId="34">
      <pivotArea field="11" type="button" dataOnly="0" labelOnly="1" outline="0" axis="axisRow" fieldPosition="0"/>
    </format>
    <format dxfId="33">
      <pivotArea dataOnly="0" labelOnly="1" fieldPosition="0">
        <references count="1">
          <reference field="11" count="1">
            <x v="7"/>
          </reference>
        </references>
      </pivotArea>
    </format>
    <format dxfId="32">
      <pivotArea dataOnly="0" labelOnly="1" grandRow="1" outline="0" fieldPosition="0"/>
    </format>
    <format dxfId="31">
      <pivotArea dataOnly="0" labelOnly="1" outline="0" axis="axisValues" fieldPosition="0"/>
    </format>
  </formats>
  <pivotTableStyleInfo name="PivotStyleLight16" showRowHeaders="1" showColHeaders="1" showRowStripes="0" showColStripes="0" showLastColumn="1"/>
  <filters count="1">
    <filter fld="1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5C2160-FAC2-4853-A469-F21A3AB5B61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2:C41" firstHeaderRow="1" firstDataRow="1" firstDataCol="1"/>
  <pivotFields count="15">
    <pivotField showAll="0"/>
    <pivotField showAll="0"/>
    <pivotField showAll="0"/>
    <pivotField showAll="0"/>
    <pivotField showAll="0"/>
    <pivotField showAll="0"/>
    <pivotField showAll="0"/>
    <pivotField numFmtId="1" showAll="0"/>
    <pivotField numFmtId="164" showAll="0"/>
    <pivotField numFmtId="2" showAll="0"/>
    <pivotField showAll="0"/>
    <pivotField axis="axisRow" showAll="0">
      <items count="9">
        <item x="4"/>
        <item x="1"/>
        <item x="0"/>
        <item x="7"/>
        <item x="3"/>
        <item x="2"/>
        <item x="6"/>
        <item x="5"/>
        <item t="default"/>
      </items>
    </pivotField>
    <pivotField numFmtId="164" showAll="0"/>
    <pivotField numFmtId="164" showAll="0"/>
    <pivotField dataField="1" numFmtId="164" showAll="0"/>
  </pivotFields>
  <rowFields count="1">
    <field x="11"/>
  </rowFields>
  <rowItems count="9">
    <i>
      <x/>
    </i>
    <i>
      <x v="1"/>
    </i>
    <i>
      <x v="2"/>
    </i>
    <i>
      <x v="3"/>
    </i>
    <i>
      <x v="4"/>
    </i>
    <i>
      <x v="5"/>
    </i>
    <i>
      <x v="6"/>
    </i>
    <i>
      <x v="7"/>
    </i>
    <i t="grand">
      <x/>
    </i>
  </rowItems>
  <colItems count="1">
    <i/>
  </colItems>
  <dataFields count="1">
    <dataField name="Sum of Sale_After_Discount" fld="14" baseField="0" baseItem="0" numFmtId="164"/>
  </dataFields>
  <formats count="9">
    <format dxfId="49">
      <pivotArea type="all" dataOnly="0" outline="0" fieldPosition="0"/>
    </format>
    <format dxfId="48">
      <pivotArea dataOnly="0" labelOnly="1" outline="0" fieldPosition="0">
        <references count="1">
          <reference field="4294967294" count="1">
            <x v="0"/>
          </reference>
        </references>
      </pivotArea>
    </format>
    <format dxfId="47">
      <pivotArea collapsedLevelsAreSubtotals="1" fieldPosition="0">
        <references count="1">
          <reference field="11" count="0"/>
        </references>
      </pivotArea>
    </format>
    <format dxfId="46">
      <pivotArea type="all" dataOnly="0" outline="0" fieldPosition="0"/>
    </format>
    <format dxfId="45">
      <pivotArea outline="0" collapsedLevelsAreSubtotals="1" fieldPosition="0"/>
    </format>
    <format dxfId="44">
      <pivotArea field="11" type="button" dataOnly="0" labelOnly="1" outline="0" axis="axisRow" fieldPosition="0"/>
    </format>
    <format dxfId="43">
      <pivotArea dataOnly="0" labelOnly="1" fieldPosition="0">
        <references count="1">
          <reference field="11" count="0"/>
        </references>
      </pivotArea>
    </format>
    <format dxfId="42">
      <pivotArea dataOnly="0" labelOnly="1" grandRow="1" outline="0" fieldPosition="0"/>
    </format>
    <format dxfId="4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EC1E03-5785-49A8-AD93-F7D028B2D6B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13" firstHeaderRow="0" firstDataRow="1" firstDataCol="1"/>
  <pivotFields count="15">
    <pivotField dataField="1" showAll="0"/>
    <pivotField showAll="0"/>
    <pivotField showAll="0"/>
    <pivotField showAll="0"/>
    <pivotField showAll="0"/>
    <pivotField showAll="0"/>
    <pivotField showAll="0"/>
    <pivotField numFmtId="1" showAll="0"/>
    <pivotField numFmtId="164" showAll="0"/>
    <pivotField dataField="1" numFmtId="2" showAll="0"/>
    <pivotField showAll="0"/>
    <pivotField axis="axisRow" showAll="0">
      <items count="9">
        <item x="4"/>
        <item x="1"/>
        <item x="0"/>
        <item x="7"/>
        <item x="3"/>
        <item x="2"/>
        <item x="6"/>
        <item x="5"/>
        <item t="default"/>
      </items>
    </pivotField>
    <pivotField numFmtId="164" showAll="0"/>
    <pivotField numFmtId="164" showAll="0"/>
    <pivotField dataField="1" numFmtId="164" showAll="0"/>
  </pivotFields>
  <rowFields count="1">
    <field x="11"/>
  </rowFields>
  <rowItems count="9">
    <i>
      <x/>
    </i>
    <i>
      <x v="1"/>
    </i>
    <i>
      <x v="2"/>
    </i>
    <i>
      <x v="3"/>
    </i>
    <i>
      <x v="4"/>
    </i>
    <i>
      <x v="5"/>
    </i>
    <i>
      <x v="6"/>
    </i>
    <i>
      <x v="7"/>
    </i>
    <i t="grand">
      <x/>
    </i>
  </rowItems>
  <colFields count="1">
    <field x="-2"/>
  </colFields>
  <colItems count="3">
    <i>
      <x/>
    </i>
    <i i="1">
      <x v="1"/>
    </i>
    <i i="2">
      <x v="2"/>
    </i>
  </colItems>
  <dataFields count="3">
    <dataField name="Sum of Sale_After_Discount" fld="14" baseField="0" baseItem="0" numFmtId="164"/>
    <dataField name="Average of Discount" fld="9" subtotal="average" baseField="11" baseItem="0" numFmtId="2"/>
    <dataField name="Count of OrderID" fld="0" subtotal="count" baseField="11" baseItem="6"/>
  </dataFields>
  <formats count="7">
    <format dxfId="56">
      <pivotArea type="all" dataOnly="0" outline="0" fieldPosition="0"/>
    </format>
    <format dxfId="55">
      <pivotArea outline="0" collapsedLevelsAreSubtotals="1" fieldPosition="0"/>
    </format>
    <format dxfId="54">
      <pivotArea field="11" type="button" dataOnly="0" labelOnly="1" outline="0" axis="axisRow" fieldPosition="0"/>
    </format>
    <format dxfId="53">
      <pivotArea dataOnly="0" labelOnly="1" fieldPosition="0">
        <references count="1">
          <reference field="11" count="0"/>
        </references>
      </pivotArea>
    </format>
    <format dxfId="52">
      <pivotArea dataOnly="0" labelOnly="1" grandRow="1" outline="0" fieldPosition="0"/>
    </format>
    <format dxfId="51">
      <pivotArea dataOnly="0" labelOnly="1" outline="0" fieldPosition="0">
        <references count="1">
          <reference field="4294967294" count="3">
            <x v="0"/>
            <x v="1"/>
            <x v="2"/>
          </reference>
        </references>
      </pivotArea>
    </format>
    <format dxfId="50">
      <pivotArea collapsedLevelsAreSubtotals="1" fieldPosition="0">
        <references count="2">
          <reference field="4294967294" count="1" selected="0">
            <x v="0"/>
          </reference>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220C69-B955-4B6F-A294-25E0A25A8E0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1:N40" firstHeaderRow="1" firstDataRow="1" firstDataCol="1"/>
  <pivotFields count="15">
    <pivotField showAll="0"/>
    <pivotField showAll="0"/>
    <pivotField showAll="0"/>
    <pivotField showAll="0"/>
    <pivotField showAll="0"/>
    <pivotField showAll="0"/>
    <pivotField showAll="0"/>
    <pivotField dataField="1" numFmtId="1" showAll="0"/>
    <pivotField numFmtId="164" showAll="0"/>
    <pivotField numFmtId="2" showAll="0"/>
    <pivotField showAll="0"/>
    <pivotField axis="axisRow" showAll="0" sortType="descending">
      <items count="9">
        <item x="4"/>
        <item x="1"/>
        <item x="0"/>
        <item x="7"/>
        <item x="3"/>
        <item x="2"/>
        <item x="6"/>
        <item x="5"/>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s>
  <rowFields count="1">
    <field x="11"/>
  </rowFields>
  <rowItems count="9">
    <i>
      <x v="1"/>
    </i>
    <i>
      <x/>
    </i>
    <i>
      <x v="7"/>
    </i>
    <i>
      <x v="2"/>
    </i>
    <i>
      <x v="3"/>
    </i>
    <i>
      <x v="4"/>
    </i>
    <i>
      <x v="5"/>
    </i>
    <i>
      <x v="6"/>
    </i>
    <i t="grand">
      <x/>
    </i>
  </rowItems>
  <colItems count="1">
    <i/>
  </colItems>
  <dataFields count="1">
    <dataField name="Sum of Quantity" fld="7" baseField="11" baseItem="2" numFmtId="1"/>
  </dataFields>
  <formats count="8">
    <format dxfId="64">
      <pivotArea type="all" dataOnly="0" outline="0" fieldPosition="0"/>
    </format>
    <format dxfId="63">
      <pivotArea collapsedLevelsAreSubtotals="1" fieldPosition="0">
        <references count="1">
          <reference field="11" count="0"/>
        </references>
      </pivotArea>
    </format>
    <format dxfId="62">
      <pivotArea type="all" dataOnly="0" outline="0" fieldPosition="0"/>
    </format>
    <format dxfId="61">
      <pivotArea outline="0" collapsedLevelsAreSubtotals="1" fieldPosition="0"/>
    </format>
    <format dxfId="60">
      <pivotArea field="11" type="button" dataOnly="0" labelOnly="1" outline="0" axis="axisRow" fieldPosition="0"/>
    </format>
    <format dxfId="59">
      <pivotArea dataOnly="0" labelOnly="1" fieldPosition="0">
        <references count="1">
          <reference field="11" count="0"/>
        </references>
      </pivotArea>
    </format>
    <format dxfId="58">
      <pivotArea dataOnly="0" labelOnly="1" grandRow="1" outline="0" fieldPosition="0"/>
    </format>
    <format dxfId="57">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42806F-25FC-4ED7-80EB-CF4EC515C79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M5" firstHeaderRow="1" firstDataRow="1" firstDataCol="0"/>
  <pivotFields count="15">
    <pivotField showAll="0"/>
    <pivotField showAll="0"/>
    <pivotField showAll="0"/>
    <pivotField showAll="0"/>
    <pivotField showAll="0"/>
    <pivotField showAll="0"/>
    <pivotField showAll="0"/>
    <pivotField numFmtId="1" showAll="0"/>
    <pivotField numFmtId="164" showAll="0"/>
    <pivotField numFmtId="2" showAll="0"/>
    <pivotField showAll="0"/>
    <pivotField showAll="0">
      <items count="9">
        <item x="4"/>
        <item x="1"/>
        <item x="0"/>
        <item x="7"/>
        <item x="3"/>
        <item x="2"/>
        <item x="6"/>
        <item x="5"/>
        <item t="default"/>
      </items>
    </pivotField>
    <pivotField numFmtId="164" showAll="0"/>
    <pivotField numFmtId="164" showAll="0"/>
    <pivotField dataField="1" numFmtId="164" showAll="0"/>
  </pivotFields>
  <rowItems count="1">
    <i/>
  </rowItems>
  <colItems count="1">
    <i/>
  </colItems>
  <dataFields count="1">
    <dataField name="Average of Sale_After_Discount" fld="14" subtotal="average" baseField="0" baseItem="0" numFmtId="166"/>
  </dataFields>
  <formats count="8">
    <format dxfId="72">
      <pivotArea type="all" dataOnly="0" outline="0" fieldPosition="0"/>
    </format>
    <format dxfId="71">
      <pivotArea outline="0" collapsedLevelsAreSubtotals="1" fieldPosition="0"/>
    </format>
    <format dxfId="70">
      <pivotArea field="11" type="button" dataOnly="0" labelOnly="1" outline="0"/>
    </format>
    <format dxfId="69">
      <pivotArea dataOnly="0" labelOnly="1" grandRow="1" outline="0"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726A45-593D-4762-95CA-0C8151B3190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58:C63" firstHeaderRow="1" firstDataRow="1" firstDataCol="1"/>
  <pivotFields count="16">
    <pivotField showAll="0"/>
    <pivotField showAll="0"/>
    <pivotField axis="axisRow" showAll="0">
      <items count="5">
        <item x="0"/>
        <item x="1"/>
        <item x="2"/>
        <item x="3"/>
        <item t="default"/>
      </items>
    </pivotField>
    <pivotField showAll="0"/>
    <pivotField showAll="0">
      <items count="5">
        <item x="3"/>
        <item x="0"/>
        <item x="1"/>
        <item x="2"/>
        <item t="default"/>
      </items>
    </pivotField>
    <pivotField showAll="0"/>
    <pivotField showAll="0"/>
    <pivotField numFmtId="1" showAll="0"/>
    <pivotField numFmtId="164" showAll="0"/>
    <pivotField numFmtId="2" showAll="0"/>
    <pivotField showAll="0"/>
    <pivotField showAll="0">
      <items count="9">
        <item x="4"/>
        <item x="1"/>
        <item x="0"/>
        <item x="7"/>
        <item x="3"/>
        <item x="2"/>
        <item x="6"/>
        <item x="5"/>
        <item t="default"/>
      </items>
    </pivotField>
    <pivotField numFmtId="164" showAll="0"/>
    <pivotField numFmtId="164" showAll="0"/>
    <pivotField dataField="1" numFmtId="164" showAll="0"/>
    <pivotField showAll="0">
      <items count="13">
        <item x="5"/>
        <item x="6"/>
        <item x="8"/>
        <item x="0"/>
        <item x="9"/>
        <item x="1"/>
        <item x="4"/>
        <item x="3"/>
        <item x="7"/>
        <item x="11"/>
        <item x="10"/>
        <item x="2"/>
        <item t="default"/>
      </items>
    </pivotField>
  </pivotFields>
  <rowFields count="1">
    <field x="2"/>
  </rowFields>
  <rowItems count="5">
    <i>
      <x/>
    </i>
    <i>
      <x v="1"/>
    </i>
    <i>
      <x v="2"/>
    </i>
    <i>
      <x v="3"/>
    </i>
    <i t="grand">
      <x/>
    </i>
  </rowItems>
  <colItems count="1">
    <i/>
  </colItems>
  <dataFields count="1">
    <dataField name="Sum of Sale_After_Discount" fld="14" baseField="0" baseItem="0" numFmtId="166"/>
  </dataFields>
  <formats count="7">
    <format dxfId="8">
      <pivotArea outline="0" collapsedLevelsAreSubtotals="1" fieldPosition="0">
        <references count="1">
          <reference field="4294967294" count="1" selected="0">
            <x v="0"/>
          </reference>
        </references>
      </pivotArea>
    </format>
    <format dxfId="7">
      <pivotArea type="all" dataOnly="0" outline="0" fieldPosition="0"/>
    </format>
    <format dxfId="6">
      <pivotArea outline="0" collapsedLevelsAreSubtotals="1" fieldPosition="0"/>
    </format>
    <format dxfId="5">
      <pivotArea field="2" type="button" dataOnly="0" labelOnly="1" outline="0" axis="axisRow" fieldPosition="0"/>
    </format>
    <format dxfId="4">
      <pivotArea dataOnly="0" labelOnly="1" fieldPosition="0">
        <references count="1">
          <reference field="2" count="0"/>
        </references>
      </pivotArea>
    </format>
    <format dxfId="3">
      <pivotArea dataOnly="0" labelOnly="1" grandRow="1" outline="0" fieldPosition="0"/>
    </format>
    <format dxfId="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FBB0ED-AAAA-4E4C-8BBE-A34793227E6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8:C43" firstHeaderRow="1" firstDataRow="1" firstDataCol="1"/>
  <pivotFields count="16">
    <pivotField showAll="0"/>
    <pivotField showAll="0"/>
    <pivotField showAll="0">
      <items count="5">
        <item x="0"/>
        <item x="1"/>
        <item x="2"/>
        <item x="3"/>
        <item t="default"/>
      </items>
    </pivotField>
    <pivotField showAll="0"/>
    <pivotField axis="axisRow" showAll="0">
      <items count="5">
        <item x="3"/>
        <item x="0"/>
        <item x="1"/>
        <item x="2"/>
        <item t="default"/>
      </items>
    </pivotField>
    <pivotField showAll="0"/>
    <pivotField showAll="0"/>
    <pivotField numFmtId="1" showAll="0"/>
    <pivotField numFmtId="164" showAll="0"/>
    <pivotField numFmtId="2" showAll="0"/>
    <pivotField showAll="0"/>
    <pivotField showAll="0">
      <items count="9">
        <item x="4"/>
        <item x="1"/>
        <item x="0"/>
        <item x="7"/>
        <item x="3"/>
        <item x="2"/>
        <item x="6"/>
        <item x="5"/>
        <item t="default"/>
      </items>
    </pivotField>
    <pivotField numFmtId="164" showAll="0"/>
    <pivotField numFmtId="164" showAll="0"/>
    <pivotField dataField="1" numFmtId="164" showAll="0"/>
    <pivotField showAll="0">
      <items count="13">
        <item x="5"/>
        <item x="6"/>
        <item x="8"/>
        <item x="0"/>
        <item x="9"/>
        <item x="1"/>
        <item x="4"/>
        <item x="3"/>
        <item x="7"/>
        <item x="11"/>
        <item x="10"/>
        <item x="2"/>
        <item t="default"/>
      </items>
    </pivotField>
  </pivotFields>
  <rowFields count="1">
    <field x="4"/>
  </rowFields>
  <rowItems count="5">
    <i>
      <x/>
    </i>
    <i>
      <x v="1"/>
    </i>
    <i>
      <x v="2"/>
    </i>
    <i>
      <x v="3"/>
    </i>
    <i t="grand">
      <x/>
    </i>
  </rowItems>
  <colItems count="1">
    <i/>
  </colItems>
  <dataFields count="1">
    <dataField name="Sum of Sale_After_Discount" fld="14" baseField="0" baseItem="0" numFmtId="166"/>
  </dataFields>
  <formats count="7">
    <format dxfId="15">
      <pivotArea outline="0" collapsedLevelsAreSubtotals="1" fieldPosition="0">
        <references count="1">
          <reference field="4294967294" count="1" selected="0">
            <x v="0"/>
          </reference>
        </references>
      </pivotArea>
    </format>
    <format dxfId="14">
      <pivotArea type="all" dataOnly="0" outline="0" fieldPosition="0"/>
    </format>
    <format dxfId="13">
      <pivotArea outline="0" collapsedLevelsAreSubtotals="1" fieldPosition="0"/>
    </format>
    <format dxfId="12">
      <pivotArea field="4" type="button" dataOnly="0" labelOnly="1" outline="0" axis="axisRow" fieldPosition="0"/>
    </format>
    <format dxfId="11">
      <pivotArea dataOnly="0" labelOnly="1" fieldPosition="0">
        <references count="1">
          <reference field="4" count="0"/>
        </references>
      </pivotArea>
    </format>
    <format dxfId="10">
      <pivotArea dataOnly="0" labelOnly="1" grandRow="1" outline="0" fieldPosition="0"/>
    </format>
    <format dxfId="9">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4" count="1" selected="0">
            <x v="0"/>
          </reference>
        </references>
      </pivotArea>
    </chartFormat>
    <chartFormat chart="9" format="12">
      <pivotArea type="data" outline="0" fieldPosition="0">
        <references count="2">
          <reference field="4294967294" count="1" selected="0">
            <x v="0"/>
          </reference>
          <reference field="4" count="1" selected="0">
            <x v="1"/>
          </reference>
        </references>
      </pivotArea>
    </chartFormat>
    <chartFormat chart="9" format="13">
      <pivotArea type="data" outline="0" fieldPosition="0">
        <references count="2">
          <reference field="4294967294" count="1" selected="0">
            <x v="0"/>
          </reference>
          <reference field="4" count="1" selected="0">
            <x v="2"/>
          </reference>
        </references>
      </pivotArea>
    </chartFormat>
    <chartFormat chart="9"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59C6B3-320A-47F4-9606-ED1CA9CAF9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7:C30" firstHeaderRow="1" firstDataRow="1" firstDataCol="1"/>
  <pivotFields count="16">
    <pivotField showAll="0"/>
    <pivotField showAll="0"/>
    <pivotField showAll="0">
      <items count="5">
        <item x="0"/>
        <item x="1"/>
        <item x="2"/>
        <item x="3"/>
        <item t="default"/>
      </items>
    </pivotField>
    <pivotField showAll="0"/>
    <pivotField showAll="0">
      <items count="5">
        <item x="3"/>
        <item x="0"/>
        <item x="1"/>
        <item x="2"/>
        <item t="default"/>
      </items>
    </pivotField>
    <pivotField showAll="0"/>
    <pivotField showAll="0"/>
    <pivotField numFmtId="1" showAll="0"/>
    <pivotField numFmtId="164" showAll="0"/>
    <pivotField numFmtId="2" showAll="0"/>
    <pivotField showAll="0"/>
    <pivotField showAll="0">
      <items count="9">
        <item x="4"/>
        <item x="1"/>
        <item x="0"/>
        <item x="7"/>
        <item x="3"/>
        <item x="2"/>
        <item x="6"/>
        <item x="5"/>
        <item t="default"/>
      </items>
    </pivotField>
    <pivotField numFmtId="164" showAll="0"/>
    <pivotField numFmtId="164" showAll="0"/>
    <pivotField dataField="1" numFmtId="164" showAll="0"/>
    <pivotField axis="axisRow" showAll="0">
      <items count="13">
        <item x="5"/>
        <item x="6"/>
        <item x="8"/>
        <item x="0"/>
        <item x="9"/>
        <item x="1"/>
        <item x="4"/>
        <item x="3"/>
        <item x="7"/>
        <item x="11"/>
        <item x="10"/>
        <item x="2"/>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Sum of Sale_After_Discount" fld="14" baseField="0" baseItem="0" numFmtId="166"/>
  </dataFields>
  <formats count="7">
    <format dxfId="22">
      <pivotArea outline="0" collapsedLevelsAreSubtotals="1" fieldPosition="0">
        <references count="1">
          <reference field="4294967294" count="1" selected="0">
            <x v="0"/>
          </reference>
        </references>
      </pivotArea>
    </format>
    <format dxfId="21">
      <pivotArea type="all" dataOnly="0" outline="0" fieldPosition="0"/>
    </format>
    <format dxfId="20">
      <pivotArea outline="0" collapsedLevelsAreSubtotals="1" fieldPosition="0"/>
    </format>
    <format dxfId="19">
      <pivotArea field="15" type="button" dataOnly="0" labelOnly="1" outline="0" axis="axisRow" fieldPosition="0"/>
    </format>
    <format dxfId="18">
      <pivotArea dataOnly="0" labelOnly="1" fieldPosition="0">
        <references count="1">
          <reference field="15" count="0"/>
        </references>
      </pivotArea>
    </format>
    <format dxfId="17">
      <pivotArea dataOnly="0" labelOnly="1" grandRow="1" outline="0" fieldPosition="0"/>
    </format>
    <format dxfId="1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A0A2147-8EDF-4384-8589-3A25DD1184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E6" firstHeaderRow="0" firstDataRow="1" firstDataCol="0"/>
  <pivotFields count="16">
    <pivotField dataField="1" showAll="0"/>
    <pivotField showAll="0"/>
    <pivotField showAll="0">
      <items count="5">
        <item x="0"/>
        <item x="1"/>
        <item x="2"/>
        <item x="3"/>
        <item t="default"/>
      </items>
    </pivotField>
    <pivotField showAll="0"/>
    <pivotField showAll="0">
      <items count="5">
        <item x="3"/>
        <item x="0"/>
        <item x="1"/>
        <item x="2"/>
        <item t="default"/>
      </items>
    </pivotField>
    <pivotField showAll="0"/>
    <pivotField showAll="0"/>
    <pivotField dataField="1" numFmtId="1" showAll="0"/>
    <pivotField numFmtId="164" showAll="0"/>
    <pivotField numFmtId="2" showAll="0"/>
    <pivotField showAll="0"/>
    <pivotField showAll="0">
      <items count="9">
        <item x="4"/>
        <item x="1"/>
        <item x="0"/>
        <item x="7"/>
        <item x="3"/>
        <item x="2"/>
        <item x="6"/>
        <item x="5"/>
        <item t="default"/>
      </items>
    </pivotField>
    <pivotField numFmtId="164" showAll="0"/>
    <pivotField numFmtId="164" showAll="0"/>
    <pivotField dataField="1" numFmtId="164" showAll="0"/>
    <pivotField showAll="0"/>
  </pivotFields>
  <rowItems count="1">
    <i/>
  </rowItems>
  <colFields count="1">
    <field x="-2"/>
  </colFields>
  <colItems count="4">
    <i>
      <x/>
    </i>
    <i i="1">
      <x v="1"/>
    </i>
    <i i="2">
      <x v="2"/>
    </i>
    <i i="3">
      <x v="3"/>
    </i>
  </colItems>
  <dataFields count="4">
    <dataField name="Sum of Sale_After_Discount" fld="14" baseField="0" baseItem="0" numFmtId="166"/>
    <dataField name="Average of Sale_After_Discount2" fld="14" subtotal="average" baseField="0" baseItem="1" numFmtId="166"/>
    <dataField name="Sum of Quantity" fld="7" baseField="0" baseItem="0" numFmtId="1"/>
    <dataField name="Count of OrderID" fld="0" subtotal="count" baseField="0" baseItem="1"/>
  </dataFields>
  <formats count="5">
    <format dxfId="27">
      <pivotArea outline="0" collapsedLevelsAreSubtotals="1" fieldPosition="0">
        <references count="1">
          <reference field="4294967294" count="1" selected="0">
            <x v="0"/>
          </reference>
        </references>
      </pivotArea>
    </format>
    <format dxfId="26">
      <pivotArea outline="0" collapsedLevelsAreSubtotals="1" fieldPosition="0">
        <references count="1">
          <reference field="4294967294" count="1" selected="0">
            <x v="1"/>
          </reference>
        </references>
      </pivotArea>
    </format>
    <format dxfId="25">
      <pivotArea type="all" dataOnly="0" outline="0" fieldPosition="0"/>
    </format>
    <format dxfId="24">
      <pivotArea outline="0" collapsedLevelsAreSubtotals="1" fieldPosition="0"/>
    </format>
    <format dxfId="2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A03BA81-A762-4655-942A-D3BE9B6A9CE6}" sourceName="Category">
  <pivotTables>
    <pivotTable tabId="3" name="PivotTable1"/>
    <pivotTable tabId="3" name="PivotTable2"/>
    <pivotTable tabId="3" name="PivotTable3"/>
    <pivotTable tabId="3" name="PivotTable4"/>
  </pivotTables>
  <data>
    <tabular pivotCacheId="184521962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989EB1B-9DE2-4A33-996C-3FA0E311A091}" sourceName="Customer Type">
  <pivotTables>
    <pivotTable tabId="3" name="PivotTable1"/>
    <pivotTable tabId="3" name="PivotTable2"/>
    <pivotTable tabId="3" name="PivotTable3"/>
    <pivotTable tabId="3" name="PivotTable4"/>
  </pivotTables>
  <data>
    <tabular pivotCacheId="184521962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07AA376-8401-4203-98CD-ACEF25963989}" sourceName="Salesperson">
  <pivotTables>
    <pivotTable tabId="3" name="PivotTable1"/>
    <pivotTable tabId="3" name="PivotTable2"/>
    <pivotTable tabId="3" name="PivotTable3"/>
    <pivotTable tabId="3" name="PivotTable4"/>
  </pivotTables>
  <data>
    <tabular pivotCacheId="1845219625">
      <items count="8">
        <i x="4" s="1"/>
        <i x="1" s="1"/>
        <i x="0" s="1"/>
        <i x="7" s="1"/>
        <i x="3" s="1"/>
        <i x="2"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07D260-7834-440B-B8DC-2363B5864BFD}" sourceName="Region">
  <pivotTables>
    <pivotTable tabId="7" name="PivotTable7"/>
    <pivotTable tabId="7" name="PivotTable10"/>
    <pivotTable tabId="7" name="PivotTable4"/>
    <pivotTable tabId="7" name="PivotTable9"/>
  </pivotTables>
  <data>
    <tabular pivotCacheId="1902985941">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63C815B-32D0-4B7F-9D81-054910E3D40A}" sourceName="Category">
  <pivotTables>
    <pivotTable tabId="7" name="PivotTable7"/>
    <pivotTable tabId="7" name="PivotTable10"/>
    <pivotTable tabId="7" name="PivotTable4"/>
    <pivotTable tabId="7" name="PivotTable9"/>
  </pivotTables>
  <data>
    <tabular pivotCacheId="1902985941">
      <items count="4">
        <i x="3" s="1"/>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DA386C4A-597E-424C-902E-24695C70E61F}" sourceName="Salesperson">
  <pivotTables>
    <pivotTable tabId="7" name="PivotTable7"/>
    <pivotTable tabId="7" name="PivotTable10"/>
    <pivotTable tabId="7" name="PivotTable4"/>
    <pivotTable tabId="7" name="PivotTable9"/>
  </pivotTables>
  <data>
    <tabular pivotCacheId="1902985941">
      <items count="8">
        <i x="4" s="1"/>
        <i x="1" s="1"/>
        <i x="0" s="1"/>
        <i x="7" s="1"/>
        <i x="3" s="1"/>
        <i x="2"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1EB2940-252C-4F28-B6DF-510BBBB5C6E3}" cache="Slicer_Category" caption="Category" rowHeight="234950"/>
  <slicer name="Customer Type" xr10:uid="{D2730B72-E1FD-4725-AD47-FFD087BB128B}" cache="Slicer_Customer_Type" caption="Customer Type" rowHeight="234950"/>
  <slicer name="Salesperson" xr10:uid="{30A9CC74-4444-4721-ACF3-66DF75EC6F15}" cache="Slicer_Salesperson" caption="Salesper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5308819-75F9-424D-9B5B-BDA0E4B88D0A}" cache="Slicer_Category" caption="Category" style="SlicerStyleLight4" rowHeight="234950"/>
  <slicer name="Customer Type 1" xr10:uid="{79CACC53-F1E3-434F-8908-98DD1F7D3AC2}" cache="Slicer_Customer_Type" caption="Customer Type" style="SlicerStyleLight4" rowHeight="234950"/>
  <slicer name="Salesperson 1" xr10:uid="{56B3136F-E222-4B82-BAF7-8FF82C8003F4}" cache="Slicer_Salesperson" caption="Salesperson" columnCount="2" style="SlicerStyleLight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9AA5DFA-07F7-46B1-A4AD-41BFD4565CD8}" cache="Slicer_Region" caption="Region" rowHeight="234950"/>
  <slicer name="Category 2" xr10:uid="{4B30A6B2-BD10-4F37-93EC-6C63A7839184}" cache="Slicer_Category1" caption="Category" rowHeight="234950"/>
  <slicer name="Salesperson 2" xr10:uid="{5FE0D7AC-23EA-4F60-914B-41ECAE1A6869}" cache="Slicer_Salesperson1" caption="Salesper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DDCAF18-5895-43E5-A55A-BBDAA9A71272}" cache="Slicer_Region" caption="Region" style="Slicer Style 1" rowHeight="234950"/>
  <slicer name="Category 3" xr10:uid="{1C3A06B9-3165-4191-8BB9-FC660701DF88}" cache="Slicer_Category1" caption="Category" style="Slicer Style 1" rowHeight="234950"/>
  <slicer name="Salesperson 3" xr10:uid="{C5853A9A-595F-4251-A7CE-FEFF67C6CEB6}" cache="Slicer_Salesperson1" caption="Salesperson" columnCount="2"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07/relationships/slicer" Target="../slicers/slicer3.xml"/><Relationship Id="rId5" Type="http://schemas.openxmlformats.org/officeDocument/2006/relationships/drawing" Target="../drawings/drawing5.xml"/><Relationship Id="rId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workbookViewId="0">
      <selection activeCell="N6" sqref="A1:P201"/>
    </sheetView>
  </sheetViews>
  <sheetFormatPr defaultRowHeight="14.4"/>
  <cols>
    <col min="1" max="1" width="9.44140625" customWidth="1"/>
    <col min="2" max="2" width="10.33203125" style="10" bestFit="1" customWidth="1"/>
    <col min="3" max="3" width="8.6640625" customWidth="1"/>
    <col min="4" max="4" width="11.44140625" bestFit="1" customWidth="1"/>
    <col min="5" max="5" width="10.44140625" customWidth="1"/>
    <col min="6" max="6" width="14.33203125" customWidth="1"/>
    <col min="7" max="7" width="16.77734375" bestFit="1" customWidth="1"/>
    <col min="8" max="8" width="10.21875" style="12" customWidth="1"/>
    <col min="9" max="9" width="11.88671875" style="13" customWidth="1"/>
    <col min="10" max="10" width="10.21875" style="11" customWidth="1"/>
    <col min="11" max="11" width="15.5546875" customWidth="1"/>
    <col min="12" max="12" width="12.88671875" customWidth="1"/>
    <col min="13" max="13" width="12.33203125" bestFit="1" customWidth="1"/>
    <col min="14" max="14" width="17.88671875" customWidth="1"/>
    <col min="15" max="15" width="19.88671875" customWidth="1"/>
  </cols>
  <sheetData>
    <row r="1" spans="1:16" ht="15" thickBot="1">
      <c r="A1" s="61" t="s">
        <v>0</v>
      </c>
      <c r="B1" s="62" t="s">
        <v>1</v>
      </c>
      <c r="C1" s="63" t="s">
        <v>2</v>
      </c>
      <c r="D1" s="63" t="s">
        <v>3</v>
      </c>
      <c r="E1" s="63" t="s">
        <v>4</v>
      </c>
      <c r="F1" s="63" t="s">
        <v>5</v>
      </c>
      <c r="G1" s="63" t="s">
        <v>6</v>
      </c>
      <c r="H1" s="64" t="s">
        <v>7</v>
      </c>
      <c r="I1" s="65" t="s">
        <v>8</v>
      </c>
      <c r="J1" s="66" t="s">
        <v>9</v>
      </c>
      <c r="K1" s="63" t="s">
        <v>10</v>
      </c>
      <c r="L1" s="63" t="s">
        <v>11</v>
      </c>
      <c r="M1" s="63" t="s">
        <v>291</v>
      </c>
      <c r="N1" s="63" t="s">
        <v>292</v>
      </c>
      <c r="O1" s="63" t="s">
        <v>293</v>
      </c>
      <c r="P1" s="63" t="s">
        <v>308</v>
      </c>
    </row>
    <row r="2" spans="1:16" ht="15" thickTop="1">
      <c r="A2" s="67">
        <v>1001</v>
      </c>
      <c r="B2" s="68" t="s">
        <v>12</v>
      </c>
      <c r="C2" s="69" t="s">
        <v>13</v>
      </c>
      <c r="D2" s="69" t="s">
        <v>14</v>
      </c>
      <c r="E2" s="69" t="s">
        <v>15</v>
      </c>
      <c r="F2" s="69" t="s">
        <v>16</v>
      </c>
      <c r="G2" s="69" t="s">
        <v>17</v>
      </c>
      <c r="H2" s="70">
        <v>9</v>
      </c>
      <c r="I2" s="71">
        <v>32905</v>
      </c>
      <c r="J2" s="72">
        <v>7.0000000000000007E-2</v>
      </c>
      <c r="K2" s="69" t="s">
        <v>18</v>
      </c>
      <c r="L2" s="69" t="s">
        <v>19</v>
      </c>
      <c r="M2" s="71">
        <f>H2*I2</f>
        <v>296145</v>
      </c>
      <c r="N2" s="71">
        <f>M2*J2</f>
        <v>20730.150000000001</v>
      </c>
      <c r="O2" s="71">
        <f>M2-N2</f>
        <v>275414.84999999998</v>
      </c>
      <c r="P2">
        <f>MONTH(B2)</f>
        <v>4</v>
      </c>
    </row>
    <row r="3" spans="1:16">
      <c r="A3" s="73">
        <v>1002</v>
      </c>
      <c r="B3" s="74" t="s">
        <v>20</v>
      </c>
      <c r="C3" s="75" t="s">
        <v>21</v>
      </c>
      <c r="D3" s="75" t="s">
        <v>22</v>
      </c>
      <c r="E3" s="75" t="s">
        <v>23</v>
      </c>
      <c r="F3" s="75" t="s">
        <v>24</v>
      </c>
      <c r="G3" s="75" t="s">
        <v>25</v>
      </c>
      <c r="H3" s="76">
        <v>9</v>
      </c>
      <c r="I3" s="77">
        <v>40330</v>
      </c>
      <c r="J3" s="78">
        <v>0.04</v>
      </c>
      <c r="K3" s="75" t="s">
        <v>18</v>
      </c>
      <c r="L3" s="75" t="s">
        <v>26</v>
      </c>
      <c r="M3" s="77">
        <f t="shared" ref="M3:M66" si="0">H3*I3</f>
        <v>362970</v>
      </c>
      <c r="N3" s="77">
        <f t="shared" ref="N3:N66" si="1">M3*J3</f>
        <v>14518.800000000001</v>
      </c>
      <c r="O3" s="77">
        <f t="shared" ref="O3:O66" si="2">M3-N3</f>
        <v>348451.2</v>
      </c>
      <c r="P3">
        <f t="shared" ref="P3:P66" si="3">MONTH(B3)</f>
        <v>6</v>
      </c>
    </row>
    <row r="4" spans="1:16">
      <c r="A4" s="79">
        <v>1003</v>
      </c>
      <c r="B4" s="80" t="s">
        <v>27</v>
      </c>
      <c r="C4" s="81" t="s">
        <v>28</v>
      </c>
      <c r="D4" s="81" t="s">
        <v>29</v>
      </c>
      <c r="E4" s="81" t="s">
        <v>30</v>
      </c>
      <c r="F4" s="81" t="s">
        <v>31</v>
      </c>
      <c r="G4" s="81" t="s">
        <v>32</v>
      </c>
      <c r="H4" s="82">
        <v>2</v>
      </c>
      <c r="I4" s="83">
        <v>46305</v>
      </c>
      <c r="J4" s="84">
        <v>0.1</v>
      </c>
      <c r="K4" s="81" t="s">
        <v>33</v>
      </c>
      <c r="L4" s="81" t="s">
        <v>34</v>
      </c>
      <c r="M4" s="83">
        <f t="shared" si="0"/>
        <v>92610</v>
      </c>
      <c r="N4" s="83">
        <f t="shared" si="1"/>
        <v>9261</v>
      </c>
      <c r="O4" s="83">
        <f t="shared" si="2"/>
        <v>83349</v>
      </c>
      <c r="P4">
        <f t="shared" si="3"/>
        <v>12</v>
      </c>
    </row>
    <row r="5" spans="1:16">
      <c r="A5" s="73">
        <v>1004</v>
      </c>
      <c r="B5" s="74" t="s">
        <v>35</v>
      </c>
      <c r="C5" s="75" t="s">
        <v>28</v>
      </c>
      <c r="D5" s="75" t="s">
        <v>36</v>
      </c>
      <c r="E5" s="75" t="s">
        <v>23</v>
      </c>
      <c r="F5" s="75" t="s">
        <v>37</v>
      </c>
      <c r="G5" s="75" t="s">
        <v>38</v>
      </c>
      <c r="H5" s="76">
        <v>8</v>
      </c>
      <c r="I5" s="77">
        <v>32683</v>
      </c>
      <c r="J5" s="78">
        <v>0.03</v>
      </c>
      <c r="K5" s="75" t="s">
        <v>18</v>
      </c>
      <c r="L5" s="75" t="s">
        <v>39</v>
      </c>
      <c r="M5" s="77">
        <f t="shared" si="0"/>
        <v>261464</v>
      </c>
      <c r="N5" s="77">
        <f t="shared" si="1"/>
        <v>7843.92</v>
      </c>
      <c r="O5" s="77">
        <f t="shared" si="2"/>
        <v>253620.08</v>
      </c>
      <c r="P5">
        <f t="shared" si="3"/>
        <v>8</v>
      </c>
    </row>
    <row r="6" spans="1:16">
      <c r="A6" s="79">
        <v>1005</v>
      </c>
      <c r="B6" s="80" t="s">
        <v>40</v>
      </c>
      <c r="C6" s="81" t="s">
        <v>21</v>
      </c>
      <c r="D6" s="81" t="s">
        <v>22</v>
      </c>
      <c r="E6" s="81" t="s">
        <v>41</v>
      </c>
      <c r="F6" s="81" t="s">
        <v>42</v>
      </c>
      <c r="G6" s="81" t="s">
        <v>43</v>
      </c>
      <c r="H6" s="82">
        <v>8</v>
      </c>
      <c r="I6" s="83">
        <v>30507</v>
      </c>
      <c r="J6" s="84">
        <v>0.18</v>
      </c>
      <c r="K6" s="81" t="s">
        <v>33</v>
      </c>
      <c r="L6" s="81" t="s">
        <v>44</v>
      </c>
      <c r="M6" s="83">
        <f t="shared" si="0"/>
        <v>244056</v>
      </c>
      <c r="N6" s="83">
        <f t="shared" si="1"/>
        <v>43930.080000000002</v>
      </c>
      <c r="O6" s="83">
        <f t="shared" si="2"/>
        <v>200125.91999999998</v>
      </c>
      <c r="P6">
        <f t="shared" si="3"/>
        <v>8</v>
      </c>
    </row>
    <row r="7" spans="1:16">
      <c r="A7" s="73">
        <v>1006</v>
      </c>
      <c r="B7" s="74" t="s">
        <v>45</v>
      </c>
      <c r="C7" s="75" t="s">
        <v>28</v>
      </c>
      <c r="D7" s="75" t="s">
        <v>46</v>
      </c>
      <c r="E7" s="75" t="s">
        <v>41</v>
      </c>
      <c r="F7" s="75" t="s">
        <v>47</v>
      </c>
      <c r="G7" s="75" t="s">
        <v>48</v>
      </c>
      <c r="H7" s="76">
        <v>6</v>
      </c>
      <c r="I7" s="77">
        <v>23778</v>
      </c>
      <c r="J7" s="78">
        <v>0.2</v>
      </c>
      <c r="K7" s="75" t="s">
        <v>18</v>
      </c>
      <c r="L7" s="75" t="s">
        <v>44</v>
      </c>
      <c r="M7" s="77">
        <f t="shared" si="0"/>
        <v>142668</v>
      </c>
      <c r="N7" s="77">
        <f t="shared" si="1"/>
        <v>28533.600000000002</v>
      </c>
      <c r="O7" s="77">
        <f t="shared" si="2"/>
        <v>114134.39999999999</v>
      </c>
      <c r="P7">
        <f t="shared" si="3"/>
        <v>8</v>
      </c>
    </row>
    <row r="8" spans="1:16">
      <c r="A8" s="79">
        <v>1007</v>
      </c>
      <c r="B8" s="80" t="s">
        <v>49</v>
      </c>
      <c r="C8" s="81" t="s">
        <v>28</v>
      </c>
      <c r="D8" s="81" t="s">
        <v>36</v>
      </c>
      <c r="E8" s="81" t="s">
        <v>15</v>
      </c>
      <c r="F8" s="81" t="s">
        <v>50</v>
      </c>
      <c r="G8" s="81" t="s">
        <v>51</v>
      </c>
      <c r="H8" s="82">
        <v>4</v>
      </c>
      <c r="I8" s="83">
        <v>20486</v>
      </c>
      <c r="J8" s="84">
        <v>0</v>
      </c>
      <c r="K8" s="81" t="s">
        <v>33</v>
      </c>
      <c r="L8" s="81" t="s">
        <v>34</v>
      </c>
      <c r="M8" s="83">
        <f t="shared" si="0"/>
        <v>81944</v>
      </c>
      <c r="N8" s="83">
        <f>M8*J8</f>
        <v>0</v>
      </c>
      <c r="O8" s="83">
        <f t="shared" si="2"/>
        <v>81944</v>
      </c>
      <c r="P8">
        <f t="shared" si="3"/>
        <v>7</v>
      </c>
    </row>
    <row r="9" spans="1:16">
      <c r="A9" s="73">
        <v>1008</v>
      </c>
      <c r="B9" s="74" t="s">
        <v>52</v>
      </c>
      <c r="C9" s="75" t="s">
        <v>13</v>
      </c>
      <c r="D9" s="75" t="s">
        <v>14</v>
      </c>
      <c r="E9" s="75" t="s">
        <v>15</v>
      </c>
      <c r="F9" s="75" t="s">
        <v>16</v>
      </c>
      <c r="G9" s="75" t="s">
        <v>53</v>
      </c>
      <c r="H9" s="76">
        <v>8</v>
      </c>
      <c r="I9" s="77">
        <v>2388</v>
      </c>
      <c r="J9" s="78">
        <v>0.11</v>
      </c>
      <c r="K9" s="75" t="s">
        <v>33</v>
      </c>
      <c r="L9" s="75" t="s">
        <v>39</v>
      </c>
      <c r="M9" s="77">
        <f t="shared" si="0"/>
        <v>19104</v>
      </c>
      <c r="N9" s="77">
        <f t="shared" si="1"/>
        <v>2101.44</v>
      </c>
      <c r="O9" s="77">
        <f t="shared" si="2"/>
        <v>17002.560000000001</v>
      </c>
      <c r="P9">
        <f t="shared" si="3"/>
        <v>12</v>
      </c>
    </row>
    <row r="10" spans="1:16">
      <c r="A10" s="79">
        <v>1009</v>
      </c>
      <c r="B10" s="80" t="s">
        <v>54</v>
      </c>
      <c r="C10" s="81" t="s">
        <v>28</v>
      </c>
      <c r="D10" s="81" t="s">
        <v>36</v>
      </c>
      <c r="E10" s="81" t="s">
        <v>30</v>
      </c>
      <c r="F10" s="81" t="s">
        <v>55</v>
      </c>
      <c r="G10" s="81" t="s">
        <v>56</v>
      </c>
      <c r="H10" s="82">
        <v>3</v>
      </c>
      <c r="I10" s="83">
        <v>25286</v>
      </c>
      <c r="J10" s="84">
        <v>0.04</v>
      </c>
      <c r="K10" s="81" t="s">
        <v>33</v>
      </c>
      <c r="L10" s="81" t="s">
        <v>39</v>
      </c>
      <c r="M10" s="83">
        <f t="shared" si="0"/>
        <v>75858</v>
      </c>
      <c r="N10" s="83">
        <f t="shared" si="1"/>
        <v>3034.32</v>
      </c>
      <c r="O10" s="83">
        <f t="shared" si="2"/>
        <v>72823.679999999993</v>
      </c>
      <c r="P10">
        <f t="shared" si="3"/>
        <v>6</v>
      </c>
    </row>
    <row r="11" spans="1:16">
      <c r="A11" s="73">
        <v>1010</v>
      </c>
      <c r="B11" s="74" t="s">
        <v>57</v>
      </c>
      <c r="C11" s="75" t="s">
        <v>28</v>
      </c>
      <c r="D11" s="75" t="s">
        <v>58</v>
      </c>
      <c r="E11" s="75" t="s">
        <v>41</v>
      </c>
      <c r="F11" s="75" t="s">
        <v>42</v>
      </c>
      <c r="G11" s="75" t="s">
        <v>43</v>
      </c>
      <c r="H11" s="76">
        <v>1</v>
      </c>
      <c r="I11" s="77">
        <v>45849</v>
      </c>
      <c r="J11" s="78">
        <v>0.11</v>
      </c>
      <c r="K11" s="75" t="s">
        <v>33</v>
      </c>
      <c r="L11" s="75" t="s">
        <v>34</v>
      </c>
      <c r="M11" s="77">
        <f t="shared" si="0"/>
        <v>45849</v>
      </c>
      <c r="N11" s="77">
        <f t="shared" si="1"/>
        <v>5043.3900000000003</v>
      </c>
      <c r="O11" s="77">
        <f t="shared" si="2"/>
        <v>40805.61</v>
      </c>
      <c r="P11">
        <f t="shared" si="3"/>
        <v>1</v>
      </c>
    </row>
    <row r="12" spans="1:16">
      <c r="A12" s="79">
        <v>1011</v>
      </c>
      <c r="B12" s="80" t="s">
        <v>59</v>
      </c>
      <c r="C12" s="81" t="s">
        <v>21</v>
      </c>
      <c r="D12" s="81" t="s">
        <v>60</v>
      </c>
      <c r="E12" s="81" t="s">
        <v>30</v>
      </c>
      <c r="F12" s="81" t="s">
        <v>61</v>
      </c>
      <c r="G12" s="81" t="s">
        <v>62</v>
      </c>
      <c r="H12" s="82">
        <v>7</v>
      </c>
      <c r="I12" s="83">
        <v>29584</v>
      </c>
      <c r="J12" s="84">
        <v>0.02</v>
      </c>
      <c r="K12" s="81" t="s">
        <v>18</v>
      </c>
      <c r="L12" s="81" t="s">
        <v>63</v>
      </c>
      <c r="M12" s="83">
        <f t="shared" si="0"/>
        <v>207088</v>
      </c>
      <c r="N12" s="83">
        <f t="shared" si="1"/>
        <v>4141.76</v>
      </c>
      <c r="O12" s="83">
        <f t="shared" si="2"/>
        <v>202946.24</v>
      </c>
      <c r="P12">
        <f t="shared" si="3"/>
        <v>2</v>
      </c>
    </row>
    <row r="13" spans="1:16">
      <c r="A13" s="73">
        <v>1012</v>
      </c>
      <c r="B13" s="74" t="s">
        <v>64</v>
      </c>
      <c r="C13" s="75" t="s">
        <v>28</v>
      </c>
      <c r="D13" s="75" t="s">
        <v>58</v>
      </c>
      <c r="E13" s="75" t="s">
        <v>30</v>
      </c>
      <c r="F13" s="75" t="s">
        <v>61</v>
      </c>
      <c r="G13" s="75" t="s">
        <v>62</v>
      </c>
      <c r="H13" s="76">
        <v>9</v>
      </c>
      <c r="I13" s="77">
        <v>1513</v>
      </c>
      <c r="J13" s="78">
        <v>0.18</v>
      </c>
      <c r="K13" s="75" t="s">
        <v>18</v>
      </c>
      <c r="L13" s="75" t="s">
        <v>19</v>
      </c>
      <c r="M13" s="77">
        <f t="shared" si="0"/>
        <v>13617</v>
      </c>
      <c r="N13" s="77">
        <f t="shared" si="1"/>
        <v>2451.06</v>
      </c>
      <c r="O13" s="77">
        <f t="shared" si="2"/>
        <v>11165.94</v>
      </c>
      <c r="P13">
        <f t="shared" si="3"/>
        <v>12</v>
      </c>
    </row>
    <row r="14" spans="1:16">
      <c r="A14" s="79">
        <v>1013</v>
      </c>
      <c r="B14" s="80" t="s">
        <v>65</v>
      </c>
      <c r="C14" s="81" t="s">
        <v>21</v>
      </c>
      <c r="D14" s="81" t="s">
        <v>60</v>
      </c>
      <c r="E14" s="81" t="s">
        <v>30</v>
      </c>
      <c r="F14" s="81" t="s">
        <v>66</v>
      </c>
      <c r="G14" s="81" t="s">
        <v>67</v>
      </c>
      <c r="H14" s="82">
        <v>3</v>
      </c>
      <c r="I14" s="83">
        <v>34587</v>
      </c>
      <c r="J14" s="84">
        <v>0.11</v>
      </c>
      <c r="K14" s="81" t="s">
        <v>33</v>
      </c>
      <c r="L14" s="81" t="s">
        <v>44</v>
      </c>
      <c r="M14" s="83">
        <f t="shared" si="0"/>
        <v>103761</v>
      </c>
      <c r="N14" s="83">
        <f t="shared" si="1"/>
        <v>11413.710000000001</v>
      </c>
      <c r="O14" s="83">
        <f t="shared" si="2"/>
        <v>92347.29</v>
      </c>
      <c r="P14">
        <f t="shared" si="3"/>
        <v>6</v>
      </c>
    </row>
    <row r="15" spans="1:16">
      <c r="A15" s="73">
        <v>1014</v>
      </c>
      <c r="B15" s="74" t="s">
        <v>68</v>
      </c>
      <c r="C15" s="75" t="s">
        <v>69</v>
      </c>
      <c r="D15" s="75" t="s">
        <v>70</v>
      </c>
      <c r="E15" s="75" t="s">
        <v>30</v>
      </c>
      <c r="F15" s="75" t="s">
        <v>61</v>
      </c>
      <c r="G15" s="75" t="s">
        <v>62</v>
      </c>
      <c r="H15" s="76">
        <v>2</v>
      </c>
      <c r="I15" s="77">
        <v>32834</v>
      </c>
      <c r="J15" s="78">
        <v>0.03</v>
      </c>
      <c r="K15" s="75" t="s">
        <v>33</v>
      </c>
      <c r="L15" s="75" t="s">
        <v>26</v>
      </c>
      <c r="M15" s="77">
        <f t="shared" si="0"/>
        <v>65668</v>
      </c>
      <c r="N15" s="77">
        <f t="shared" si="1"/>
        <v>1970.04</v>
      </c>
      <c r="O15" s="77">
        <f t="shared" si="2"/>
        <v>63697.96</v>
      </c>
      <c r="P15">
        <f t="shared" si="3"/>
        <v>4</v>
      </c>
    </row>
    <row r="16" spans="1:16">
      <c r="A16" s="79">
        <v>1015</v>
      </c>
      <c r="B16" s="80" t="s">
        <v>71</v>
      </c>
      <c r="C16" s="81" t="s">
        <v>69</v>
      </c>
      <c r="D16" s="81" t="s">
        <v>72</v>
      </c>
      <c r="E16" s="81" t="s">
        <v>15</v>
      </c>
      <c r="F16" s="81" t="s">
        <v>16</v>
      </c>
      <c r="G16" s="81" t="s">
        <v>53</v>
      </c>
      <c r="H16" s="82">
        <v>1</v>
      </c>
      <c r="I16" s="83">
        <v>26572</v>
      </c>
      <c r="J16" s="84">
        <v>0.02</v>
      </c>
      <c r="K16" s="81" t="s">
        <v>18</v>
      </c>
      <c r="L16" s="81" t="s">
        <v>73</v>
      </c>
      <c r="M16" s="83">
        <f t="shared" si="0"/>
        <v>26572</v>
      </c>
      <c r="N16" s="83">
        <f t="shared" si="1"/>
        <v>531.44000000000005</v>
      </c>
      <c r="O16" s="83">
        <f t="shared" si="2"/>
        <v>26040.560000000001</v>
      </c>
      <c r="P16">
        <f t="shared" si="3"/>
        <v>7</v>
      </c>
    </row>
    <row r="17" spans="1:16">
      <c r="A17" s="73">
        <v>1016</v>
      </c>
      <c r="B17" s="74" t="s">
        <v>74</v>
      </c>
      <c r="C17" s="75" t="s">
        <v>69</v>
      </c>
      <c r="D17" s="75" t="s">
        <v>75</v>
      </c>
      <c r="E17" s="75" t="s">
        <v>41</v>
      </c>
      <c r="F17" s="75" t="s">
        <v>76</v>
      </c>
      <c r="G17" s="75" t="s">
        <v>77</v>
      </c>
      <c r="H17" s="76">
        <v>8</v>
      </c>
      <c r="I17" s="77">
        <v>19749</v>
      </c>
      <c r="J17" s="78">
        <v>0.12</v>
      </c>
      <c r="K17" s="75" t="s">
        <v>33</v>
      </c>
      <c r="L17" s="75" t="s">
        <v>63</v>
      </c>
      <c r="M17" s="77">
        <f t="shared" si="0"/>
        <v>157992</v>
      </c>
      <c r="N17" s="77">
        <f t="shared" si="1"/>
        <v>18959.04</v>
      </c>
      <c r="O17" s="77">
        <f t="shared" si="2"/>
        <v>139032.95999999999</v>
      </c>
      <c r="P17">
        <f t="shared" si="3"/>
        <v>7</v>
      </c>
    </row>
    <row r="18" spans="1:16">
      <c r="A18" s="79">
        <v>1017</v>
      </c>
      <c r="B18" s="80" t="s">
        <v>78</v>
      </c>
      <c r="C18" s="81" t="s">
        <v>28</v>
      </c>
      <c r="D18" s="81" t="s">
        <v>46</v>
      </c>
      <c r="E18" s="81" t="s">
        <v>30</v>
      </c>
      <c r="F18" s="81" t="s">
        <v>61</v>
      </c>
      <c r="G18" s="81" t="s">
        <v>62</v>
      </c>
      <c r="H18" s="82">
        <v>7</v>
      </c>
      <c r="I18" s="83">
        <v>3906</v>
      </c>
      <c r="J18" s="84">
        <v>0.12</v>
      </c>
      <c r="K18" s="81" t="s">
        <v>33</v>
      </c>
      <c r="L18" s="81" t="s">
        <v>63</v>
      </c>
      <c r="M18" s="83">
        <f t="shared" si="0"/>
        <v>27342</v>
      </c>
      <c r="N18" s="83">
        <f t="shared" si="1"/>
        <v>3281.04</v>
      </c>
      <c r="O18" s="83">
        <f t="shared" si="2"/>
        <v>24060.959999999999</v>
      </c>
      <c r="P18">
        <f t="shared" si="3"/>
        <v>7</v>
      </c>
    </row>
    <row r="19" spans="1:16">
      <c r="A19" s="73">
        <v>1018</v>
      </c>
      <c r="B19" s="74" t="s">
        <v>79</v>
      </c>
      <c r="C19" s="75" t="s">
        <v>21</v>
      </c>
      <c r="D19" s="75" t="s">
        <v>80</v>
      </c>
      <c r="E19" s="75" t="s">
        <v>30</v>
      </c>
      <c r="F19" s="75" t="s">
        <v>55</v>
      </c>
      <c r="G19" s="75" t="s">
        <v>56</v>
      </c>
      <c r="H19" s="76">
        <v>9</v>
      </c>
      <c r="I19" s="77">
        <v>45609</v>
      </c>
      <c r="J19" s="78">
        <v>0.04</v>
      </c>
      <c r="K19" s="75" t="s">
        <v>18</v>
      </c>
      <c r="L19" s="75" t="s">
        <v>44</v>
      </c>
      <c r="M19" s="77">
        <f t="shared" si="0"/>
        <v>410481</v>
      </c>
      <c r="N19" s="77">
        <f t="shared" si="1"/>
        <v>16419.240000000002</v>
      </c>
      <c r="O19" s="77">
        <f t="shared" si="2"/>
        <v>394061.76</v>
      </c>
      <c r="P19">
        <f t="shared" si="3"/>
        <v>9</v>
      </c>
    </row>
    <row r="20" spans="1:16">
      <c r="A20" s="79">
        <v>1019</v>
      </c>
      <c r="B20" s="80" t="s">
        <v>81</v>
      </c>
      <c r="C20" s="81" t="s">
        <v>13</v>
      </c>
      <c r="D20" s="81" t="s">
        <v>82</v>
      </c>
      <c r="E20" s="81" t="s">
        <v>23</v>
      </c>
      <c r="F20" s="81" t="s">
        <v>37</v>
      </c>
      <c r="G20" s="81" t="s">
        <v>83</v>
      </c>
      <c r="H20" s="82">
        <v>10</v>
      </c>
      <c r="I20" s="83">
        <v>4005</v>
      </c>
      <c r="J20" s="84">
        <v>0.16</v>
      </c>
      <c r="K20" s="81" t="s">
        <v>33</v>
      </c>
      <c r="L20" s="81" t="s">
        <v>26</v>
      </c>
      <c r="M20" s="83">
        <f t="shared" si="0"/>
        <v>40050</v>
      </c>
      <c r="N20" s="83">
        <f t="shared" si="1"/>
        <v>6408</v>
      </c>
      <c r="O20" s="83">
        <f t="shared" si="2"/>
        <v>33642</v>
      </c>
      <c r="P20">
        <f t="shared" si="3"/>
        <v>9</v>
      </c>
    </row>
    <row r="21" spans="1:16">
      <c r="A21" s="73">
        <v>1020</v>
      </c>
      <c r="B21" s="74" t="s">
        <v>84</v>
      </c>
      <c r="C21" s="75" t="s">
        <v>69</v>
      </c>
      <c r="D21" s="75" t="s">
        <v>72</v>
      </c>
      <c r="E21" s="75" t="s">
        <v>15</v>
      </c>
      <c r="F21" s="75" t="s">
        <v>85</v>
      </c>
      <c r="G21" s="75" t="s">
        <v>86</v>
      </c>
      <c r="H21" s="76">
        <v>1</v>
      </c>
      <c r="I21" s="77">
        <v>12018</v>
      </c>
      <c r="J21" s="78">
        <v>0.19</v>
      </c>
      <c r="K21" s="75" t="s">
        <v>33</v>
      </c>
      <c r="L21" s="75" t="s">
        <v>73</v>
      </c>
      <c r="M21" s="77">
        <f t="shared" si="0"/>
        <v>12018</v>
      </c>
      <c r="N21" s="77">
        <f t="shared" si="1"/>
        <v>2283.42</v>
      </c>
      <c r="O21" s="77">
        <f t="shared" si="2"/>
        <v>9734.58</v>
      </c>
      <c r="P21">
        <f t="shared" si="3"/>
        <v>4</v>
      </c>
    </row>
    <row r="22" spans="1:16">
      <c r="A22" s="79">
        <v>1021</v>
      </c>
      <c r="B22" s="80" t="s">
        <v>87</v>
      </c>
      <c r="C22" s="81" t="s">
        <v>28</v>
      </c>
      <c r="D22" s="81" t="s">
        <v>36</v>
      </c>
      <c r="E22" s="81" t="s">
        <v>30</v>
      </c>
      <c r="F22" s="81" t="s">
        <v>31</v>
      </c>
      <c r="G22" s="81" t="s">
        <v>88</v>
      </c>
      <c r="H22" s="82">
        <v>2</v>
      </c>
      <c r="I22" s="83">
        <v>31751</v>
      </c>
      <c r="J22" s="84">
        <v>7.0000000000000007E-2</v>
      </c>
      <c r="K22" s="81" t="s">
        <v>33</v>
      </c>
      <c r="L22" s="81" t="s">
        <v>26</v>
      </c>
      <c r="M22" s="83">
        <f t="shared" si="0"/>
        <v>63502</v>
      </c>
      <c r="N22" s="83">
        <f t="shared" si="1"/>
        <v>4445.1400000000003</v>
      </c>
      <c r="O22" s="83">
        <f t="shared" si="2"/>
        <v>59056.86</v>
      </c>
      <c r="P22">
        <f t="shared" si="3"/>
        <v>3</v>
      </c>
    </row>
    <row r="23" spans="1:16">
      <c r="A23" s="73">
        <v>1022</v>
      </c>
      <c r="B23" s="74" t="s">
        <v>89</v>
      </c>
      <c r="C23" s="75" t="s">
        <v>28</v>
      </c>
      <c r="D23" s="75" t="s">
        <v>46</v>
      </c>
      <c r="E23" s="75" t="s">
        <v>41</v>
      </c>
      <c r="F23" s="75" t="s">
        <v>42</v>
      </c>
      <c r="G23" s="75" t="s">
        <v>90</v>
      </c>
      <c r="H23" s="76">
        <v>10</v>
      </c>
      <c r="I23" s="77">
        <v>4062</v>
      </c>
      <c r="J23" s="78">
        <v>0.12</v>
      </c>
      <c r="K23" s="75" t="s">
        <v>18</v>
      </c>
      <c r="L23" s="75" t="s">
        <v>26</v>
      </c>
      <c r="M23" s="77">
        <f t="shared" si="0"/>
        <v>40620</v>
      </c>
      <c r="N23" s="77">
        <f t="shared" si="1"/>
        <v>4874.3999999999996</v>
      </c>
      <c r="O23" s="77">
        <f t="shared" si="2"/>
        <v>35745.599999999999</v>
      </c>
      <c r="P23">
        <f t="shared" si="3"/>
        <v>8</v>
      </c>
    </row>
    <row r="24" spans="1:16">
      <c r="A24" s="79">
        <v>1023</v>
      </c>
      <c r="B24" s="80" t="s">
        <v>91</v>
      </c>
      <c r="C24" s="81" t="s">
        <v>28</v>
      </c>
      <c r="D24" s="81" t="s">
        <v>58</v>
      </c>
      <c r="E24" s="81" t="s">
        <v>15</v>
      </c>
      <c r="F24" s="81" t="s">
        <v>16</v>
      </c>
      <c r="G24" s="81" t="s">
        <v>17</v>
      </c>
      <c r="H24" s="82">
        <v>7</v>
      </c>
      <c r="I24" s="83">
        <v>22038</v>
      </c>
      <c r="J24" s="84">
        <v>0.04</v>
      </c>
      <c r="K24" s="81" t="s">
        <v>33</v>
      </c>
      <c r="L24" s="81" t="s">
        <v>39</v>
      </c>
      <c r="M24" s="83">
        <f t="shared" si="0"/>
        <v>154266</v>
      </c>
      <c r="N24" s="83">
        <f t="shared" si="1"/>
        <v>6170.64</v>
      </c>
      <c r="O24" s="83">
        <f t="shared" si="2"/>
        <v>148095.35999999999</v>
      </c>
      <c r="P24">
        <f t="shared" si="3"/>
        <v>2</v>
      </c>
    </row>
    <row r="25" spans="1:16">
      <c r="A25" s="73">
        <v>1024</v>
      </c>
      <c r="B25" s="74" t="s">
        <v>92</v>
      </c>
      <c r="C25" s="75" t="s">
        <v>13</v>
      </c>
      <c r="D25" s="75" t="s">
        <v>93</v>
      </c>
      <c r="E25" s="75" t="s">
        <v>23</v>
      </c>
      <c r="F25" s="75" t="s">
        <v>24</v>
      </c>
      <c r="G25" s="75" t="s">
        <v>94</v>
      </c>
      <c r="H25" s="76">
        <v>9</v>
      </c>
      <c r="I25" s="77">
        <v>9591</v>
      </c>
      <c r="J25" s="78">
        <v>7.0000000000000007E-2</v>
      </c>
      <c r="K25" s="75" t="s">
        <v>33</v>
      </c>
      <c r="L25" s="75" t="s">
        <v>19</v>
      </c>
      <c r="M25" s="77">
        <f t="shared" si="0"/>
        <v>86319</v>
      </c>
      <c r="N25" s="77">
        <f t="shared" si="1"/>
        <v>6042.3300000000008</v>
      </c>
      <c r="O25" s="77">
        <f t="shared" si="2"/>
        <v>80276.67</v>
      </c>
      <c r="P25">
        <f t="shared" si="3"/>
        <v>8</v>
      </c>
    </row>
    <row r="26" spans="1:16">
      <c r="A26" s="79">
        <v>1025</v>
      </c>
      <c r="B26" s="80" t="s">
        <v>95</v>
      </c>
      <c r="C26" s="81" t="s">
        <v>69</v>
      </c>
      <c r="D26" s="81" t="s">
        <v>70</v>
      </c>
      <c r="E26" s="81" t="s">
        <v>30</v>
      </c>
      <c r="F26" s="81" t="s">
        <v>55</v>
      </c>
      <c r="G26" s="81" t="s">
        <v>56</v>
      </c>
      <c r="H26" s="82">
        <v>2</v>
      </c>
      <c r="I26" s="83">
        <v>22073</v>
      </c>
      <c r="J26" s="84">
        <v>0.06</v>
      </c>
      <c r="K26" s="81" t="s">
        <v>33</v>
      </c>
      <c r="L26" s="81" t="s">
        <v>19</v>
      </c>
      <c r="M26" s="83">
        <f t="shared" si="0"/>
        <v>44146</v>
      </c>
      <c r="N26" s="83">
        <f t="shared" si="1"/>
        <v>2648.7599999999998</v>
      </c>
      <c r="O26" s="83">
        <f t="shared" si="2"/>
        <v>41497.24</v>
      </c>
      <c r="P26">
        <f t="shared" si="3"/>
        <v>5</v>
      </c>
    </row>
    <row r="27" spans="1:16">
      <c r="A27" s="73">
        <v>1026</v>
      </c>
      <c r="B27" s="74" t="s">
        <v>96</v>
      </c>
      <c r="C27" s="75" t="s">
        <v>69</v>
      </c>
      <c r="D27" s="75" t="s">
        <v>72</v>
      </c>
      <c r="E27" s="75" t="s">
        <v>23</v>
      </c>
      <c r="F27" s="75" t="s">
        <v>37</v>
      </c>
      <c r="G27" s="75" t="s">
        <v>83</v>
      </c>
      <c r="H27" s="76">
        <v>1</v>
      </c>
      <c r="I27" s="77">
        <v>16541</v>
      </c>
      <c r="J27" s="78">
        <v>0.14000000000000001</v>
      </c>
      <c r="K27" s="75" t="s">
        <v>33</v>
      </c>
      <c r="L27" s="75" t="s">
        <v>73</v>
      </c>
      <c r="M27" s="77">
        <f t="shared" si="0"/>
        <v>16541</v>
      </c>
      <c r="N27" s="77">
        <f t="shared" si="1"/>
        <v>2315.7400000000002</v>
      </c>
      <c r="O27" s="77">
        <f t="shared" si="2"/>
        <v>14225.26</v>
      </c>
      <c r="P27">
        <f t="shared" si="3"/>
        <v>12</v>
      </c>
    </row>
    <row r="28" spans="1:16">
      <c r="A28" s="79">
        <v>1027</v>
      </c>
      <c r="B28" s="80" t="s">
        <v>97</v>
      </c>
      <c r="C28" s="81" t="s">
        <v>28</v>
      </c>
      <c r="D28" s="81" t="s">
        <v>46</v>
      </c>
      <c r="E28" s="81" t="s">
        <v>23</v>
      </c>
      <c r="F28" s="81" t="s">
        <v>24</v>
      </c>
      <c r="G28" s="81" t="s">
        <v>98</v>
      </c>
      <c r="H28" s="82">
        <v>1</v>
      </c>
      <c r="I28" s="83">
        <v>257</v>
      </c>
      <c r="J28" s="84">
        <v>0.13</v>
      </c>
      <c r="K28" s="81" t="s">
        <v>18</v>
      </c>
      <c r="L28" s="81" t="s">
        <v>39</v>
      </c>
      <c r="M28" s="83">
        <f t="shared" si="0"/>
        <v>257</v>
      </c>
      <c r="N28" s="83">
        <f t="shared" si="1"/>
        <v>33.410000000000004</v>
      </c>
      <c r="O28" s="83">
        <f t="shared" si="2"/>
        <v>223.59</v>
      </c>
      <c r="P28">
        <f t="shared" si="3"/>
        <v>11</v>
      </c>
    </row>
    <row r="29" spans="1:16">
      <c r="A29" s="73">
        <v>1028</v>
      </c>
      <c r="B29" s="74" t="s">
        <v>99</v>
      </c>
      <c r="C29" s="75" t="s">
        <v>13</v>
      </c>
      <c r="D29" s="75" t="s">
        <v>14</v>
      </c>
      <c r="E29" s="75" t="s">
        <v>15</v>
      </c>
      <c r="F29" s="75" t="s">
        <v>100</v>
      </c>
      <c r="G29" s="75" t="s">
        <v>101</v>
      </c>
      <c r="H29" s="76">
        <v>7</v>
      </c>
      <c r="I29" s="77">
        <v>38762</v>
      </c>
      <c r="J29" s="78">
        <v>0.2</v>
      </c>
      <c r="K29" s="75" t="s">
        <v>33</v>
      </c>
      <c r="L29" s="75" t="s">
        <v>44</v>
      </c>
      <c r="M29" s="77">
        <f t="shared" si="0"/>
        <v>271334</v>
      </c>
      <c r="N29" s="77">
        <f t="shared" si="1"/>
        <v>54266.8</v>
      </c>
      <c r="O29" s="77">
        <f t="shared" si="2"/>
        <v>217067.2</v>
      </c>
      <c r="P29">
        <f t="shared" si="3"/>
        <v>4</v>
      </c>
    </row>
    <row r="30" spans="1:16">
      <c r="A30" s="79">
        <v>1029</v>
      </c>
      <c r="B30" s="80" t="s">
        <v>102</v>
      </c>
      <c r="C30" s="81" t="s">
        <v>69</v>
      </c>
      <c r="D30" s="81" t="s">
        <v>72</v>
      </c>
      <c r="E30" s="81" t="s">
        <v>41</v>
      </c>
      <c r="F30" s="81" t="s">
        <v>42</v>
      </c>
      <c r="G30" s="81" t="s">
        <v>43</v>
      </c>
      <c r="H30" s="82">
        <v>10</v>
      </c>
      <c r="I30" s="83">
        <v>4695</v>
      </c>
      <c r="J30" s="84">
        <v>0.05</v>
      </c>
      <c r="K30" s="81" t="s">
        <v>33</v>
      </c>
      <c r="L30" s="81" t="s">
        <v>103</v>
      </c>
      <c r="M30" s="83">
        <f t="shared" si="0"/>
        <v>46950</v>
      </c>
      <c r="N30" s="83">
        <f t="shared" si="1"/>
        <v>2347.5</v>
      </c>
      <c r="O30" s="83">
        <f t="shared" si="2"/>
        <v>44602.5</v>
      </c>
      <c r="P30">
        <f t="shared" si="3"/>
        <v>9</v>
      </c>
    </row>
    <row r="31" spans="1:16">
      <c r="A31" s="73">
        <v>1030</v>
      </c>
      <c r="B31" s="74" t="s">
        <v>104</v>
      </c>
      <c r="C31" s="75" t="s">
        <v>69</v>
      </c>
      <c r="D31" s="75" t="s">
        <v>72</v>
      </c>
      <c r="E31" s="75" t="s">
        <v>23</v>
      </c>
      <c r="F31" s="75" t="s">
        <v>37</v>
      </c>
      <c r="G31" s="75" t="s">
        <v>83</v>
      </c>
      <c r="H31" s="76">
        <v>5</v>
      </c>
      <c r="I31" s="77">
        <v>20339</v>
      </c>
      <c r="J31" s="78">
        <v>0.09</v>
      </c>
      <c r="K31" s="75" t="s">
        <v>18</v>
      </c>
      <c r="L31" s="75" t="s">
        <v>26</v>
      </c>
      <c r="M31" s="77">
        <f t="shared" si="0"/>
        <v>101695</v>
      </c>
      <c r="N31" s="77">
        <f t="shared" si="1"/>
        <v>9152.5499999999993</v>
      </c>
      <c r="O31" s="77">
        <f t="shared" si="2"/>
        <v>92542.45</v>
      </c>
      <c r="P31">
        <f t="shared" si="3"/>
        <v>3</v>
      </c>
    </row>
    <row r="32" spans="1:16">
      <c r="A32" s="79">
        <v>1031</v>
      </c>
      <c r="B32" s="80" t="s">
        <v>105</v>
      </c>
      <c r="C32" s="81" t="s">
        <v>13</v>
      </c>
      <c r="D32" s="81" t="s">
        <v>82</v>
      </c>
      <c r="E32" s="81" t="s">
        <v>41</v>
      </c>
      <c r="F32" s="81" t="s">
        <v>76</v>
      </c>
      <c r="G32" s="81" t="s">
        <v>106</v>
      </c>
      <c r="H32" s="82">
        <v>7</v>
      </c>
      <c r="I32" s="83">
        <v>32551</v>
      </c>
      <c r="J32" s="84">
        <v>0.05</v>
      </c>
      <c r="K32" s="81" t="s">
        <v>33</v>
      </c>
      <c r="L32" s="81" t="s">
        <v>73</v>
      </c>
      <c r="M32" s="83">
        <f t="shared" si="0"/>
        <v>227857</v>
      </c>
      <c r="N32" s="83">
        <f t="shared" si="1"/>
        <v>11392.85</v>
      </c>
      <c r="O32" s="83">
        <f t="shared" si="2"/>
        <v>216464.15</v>
      </c>
      <c r="P32">
        <f t="shared" si="3"/>
        <v>5</v>
      </c>
    </row>
    <row r="33" spans="1:16">
      <c r="A33" s="73">
        <v>1032</v>
      </c>
      <c r="B33" s="74" t="s">
        <v>107</v>
      </c>
      <c r="C33" s="75" t="s">
        <v>28</v>
      </c>
      <c r="D33" s="75" t="s">
        <v>46</v>
      </c>
      <c r="E33" s="75" t="s">
        <v>15</v>
      </c>
      <c r="F33" s="75" t="s">
        <v>16</v>
      </c>
      <c r="G33" s="75" t="s">
        <v>53</v>
      </c>
      <c r="H33" s="76">
        <v>5</v>
      </c>
      <c r="I33" s="77">
        <v>13811</v>
      </c>
      <c r="J33" s="78">
        <v>0.15</v>
      </c>
      <c r="K33" s="75" t="s">
        <v>18</v>
      </c>
      <c r="L33" s="75" t="s">
        <v>63</v>
      </c>
      <c r="M33" s="77">
        <f t="shared" si="0"/>
        <v>69055</v>
      </c>
      <c r="N33" s="77">
        <f t="shared" si="1"/>
        <v>10358.25</v>
      </c>
      <c r="O33" s="77">
        <f t="shared" si="2"/>
        <v>58696.75</v>
      </c>
      <c r="P33">
        <f t="shared" si="3"/>
        <v>5</v>
      </c>
    </row>
    <row r="34" spans="1:16">
      <c r="A34" s="79">
        <v>1033</v>
      </c>
      <c r="B34" s="80" t="s">
        <v>108</v>
      </c>
      <c r="C34" s="81" t="s">
        <v>13</v>
      </c>
      <c r="D34" s="81" t="s">
        <v>82</v>
      </c>
      <c r="E34" s="81" t="s">
        <v>30</v>
      </c>
      <c r="F34" s="81" t="s">
        <v>31</v>
      </c>
      <c r="G34" s="81" t="s">
        <v>109</v>
      </c>
      <c r="H34" s="82">
        <v>10</v>
      </c>
      <c r="I34" s="83">
        <v>27338</v>
      </c>
      <c r="J34" s="84">
        <v>0.14000000000000001</v>
      </c>
      <c r="K34" s="81" t="s">
        <v>33</v>
      </c>
      <c r="L34" s="81" t="s">
        <v>39</v>
      </c>
      <c r="M34" s="83">
        <f t="shared" si="0"/>
        <v>273380</v>
      </c>
      <c r="N34" s="83">
        <f t="shared" si="1"/>
        <v>38273.200000000004</v>
      </c>
      <c r="O34" s="83">
        <f t="shared" si="2"/>
        <v>235106.8</v>
      </c>
      <c r="P34">
        <f t="shared" si="3"/>
        <v>7</v>
      </c>
    </row>
    <row r="35" spans="1:16">
      <c r="A35" s="73">
        <v>1034</v>
      </c>
      <c r="B35" s="74" t="s">
        <v>110</v>
      </c>
      <c r="C35" s="75" t="s">
        <v>69</v>
      </c>
      <c r="D35" s="75" t="s">
        <v>111</v>
      </c>
      <c r="E35" s="75" t="s">
        <v>30</v>
      </c>
      <c r="F35" s="75" t="s">
        <v>55</v>
      </c>
      <c r="G35" s="75" t="s">
        <v>112</v>
      </c>
      <c r="H35" s="76">
        <v>5</v>
      </c>
      <c r="I35" s="77">
        <v>26796</v>
      </c>
      <c r="J35" s="78">
        <v>0.03</v>
      </c>
      <c r="K35" s="75" t="s">
        <v>18</v>
      </c>
      <c r="L35" s="75" t="s">
        <v>73</v>
      </c>
      <c r="M35" s="77">
        <f t="shared" si="0"/>
        <v>133980</v>
      </c>
      <c r="N35" s="77">
        <f t="shared" si="1"/>
        <v>4019.3999999999996</v>
      </c>
      <c r="O35" s="77">
        <f t="shared" si="2"/>
        <v>129960.6</v>
      </c>
      <c r="P35">
        <f t="shared" si="3"/>
        <v>1</v>
      </c>
    </row>
    <row r="36" spans="1:16">
      <c r="A36" s="79">
        <v>1035</v>
      </c>
      <c r="B36" s="80" t="s">
        <v>113</v>
      </c>
      <c r="C36" s="81" t="s">
        <v>21</v>
      </c>
      <c r="D36" s="81" t="s">
        <v>114</v>
      </c>
      <c r="E36" s="81" t="s">
        <v>41</v>
      </c>
      <c r="F36" s="81" t="s">
        <v>115</v>
      </c>
      <c r="G36" s="81" t="s">
        <v>116</v>
      </c>
      <c r="H36" s="82">
        <v>5</v>
      </c>
      <c r="I36" s="83">
        <v>42606</v>
      </c>
      <c r="J36" s="84">
        <v>0.04</v>
      </c>
      <c r="K36" s="81" t="s">
        <v>33</v>
      </c>
      <c r="L36" s="81" t="s">
        <v>103</v>
      </c>
      <c r="M36" s="83">
        <f t="shared" si="0"/>
        <v>213030</v>
      </c>
      <c r="N36" s="83">
        <f t="shared" si="1"/>
        <v>8521.2000000000007</v>
      </c>
      <c r="O36" s="83">
        <f t="shared" si="2"/>
        <v>204508.79999999999</v>
      </c>
      <c r="P36">
        <f t="shared" si="3"/>
        <v>2</v>
      </c>
    </row>
    <row r="37" spans="1:16">
      <c r="A37" s="73">
        <v>1036</v>
      </c>
      <c r="B37" s="74" t="s">
        <v>117</v>
      </c>
      <c r="C37" s="75" t="s">
        <v>28</v>
      </c>
      <c r="D37" s="75" t="s">
        <v>46</v>
      </c>
      <c r="E37" s="75" t="s">
        <v>15</v>
      </c>
      <c r="F37" s="75" t="s">
        <v>85</v>
      </c>
      <c r="G37" s="75" t="s">
        <v>118</v>
      </c>
      <c r="H37" s="76">
        <v>4</v>
      </c>
      <c r="I37" s="77">
        <v>24249</v>
      </c>
      <c r="J37" s="78">
        <v>0.19</v>
      </c>
      <c r="K37" s="75" t="s">
        <v>33</v>
      </c>
      <c r="L37" s="75" t="s">
        <v>26</v>
      </c>
      <c r="M37" s="77">
        <f t="shared" si="0"/>
        <v>96996</v>
      </c>
      <c r="N37" s="77">
        <f t="shared" si="1"/>
        <v>18429.240000000002</v>
      </c>
      <c r="O37" s="77">
        <f t="shared" si="2"/>
        <v>78566.759999999995</v>
      </c>
      <c r="P37">
        <f t="shared" si="3"/>
        <v>5</v>
      </c>
    </row>
    <row r="38" spans="1:16">
      <c r="A38" s="79">
        <v>1037</v>
      </c>
      <c r="B38" s="80" t="s">
        <v>119</v>
      </c>
      <c r="C38" s="81" t="s">
        <v>28</v>
      </c>
      <c r="D38" s="81" t="s">
        <v>36</v>
      </c>
      <c r="E38" s="81" t="s">
        <v>15</v>
      </c>
      <c r="F38" s="81" t="s">
        <v>50</v>
      </c>
      <c r="G38" s="81" t="s">
        <v>120</v>
      </c>
      <c r="H38" s="82">
        <v>7</v>
      </c>
      <c r="I38" s="83">
        <v>11215</v>
      </c>
      <c r="J38" s="84">
        <v>0.16</v>
      </c>
      <c r="K38" s="81" t="s">
        <v>18</v>
      </c>
      <c r="L38" s="81" t="s">
        <v>103</v>
      </c>
      <c r="M38" s="83">
        <f t="shared" si="0"/>
        <v>78505</v>
      </c>
      <c r="N38" s="83">
        <f t="shared" si="1"/>
        <v>12560.800000000001</v>
      </c>
      <c r="O38" s="83">
        <f t="shared" si="2"/>
        <v>65944.2</v>
      </c>
      <c r="P38">
        <f t="shared" si="3"/>
        <v>5</v>
      </c>
    </row>
    <row r="39" spans="1:16">
      <c r="A39" s="73">
        <v>1038</v>
      </c>
      <c r="B39" s="74" t="s">
        <v>121</v>
      </c>
      <c r="C39" s="75" t="s">
        <v>28</v>
      </c>
      <c r="D39" s="75" t="s">
        <v>29</v>
      </c>
      <c r="E39" s="75" t="s">
        <v>41</v>
      </c>
      <c r="F39" s="75" t="s">
        <v>115</v>
      </c>
      <c r="G39" s="75" t="s">
        <v>116</v>
      </c>
      <c r="H39" s="76">
        <v>8</v>
      </c>
      <c r="I39" s="77">
        <v>43581</v>
      </c>
      <c r="J39" s="78">
        <v>0.1</v>
      </c>
      <c r="K39" s="75" t="s">
        <v>33</v>
      </c>
      <c r="L39" s="75" t="s">
        <v>26</v>
      </c>
      <c r="M39" s="77">
        <f t="shared" si="0"/>
        <v>348648</v>
      </c>
      <c r="N39" s="77">
        <f t="shared" si="1"/>
        <v>34864.800000000003</v>
      </c>
      <c r="O39" s="77">
        <f t="shared" si="2"/>
        <v>313783.2</v>
      </c>
      <c r="P39">
        <f t="shared" si="3"/>
        <v>7</v>
      </c>
    </row>
    <row r="40" spans="1:16">
      <c r="A40" s="79">
        <v>1039</v>
      </c>
      <c r="B40" s="80" t="s">
        <v>122</v>
      </c>
      <c r="C40" s="81" t="s">
        <v>28</v>
      </c>
      <c r="D40" s="81" t="s">
        <v>36</v>
      </c>
      <c r="E40" s="81" t="s">
        <v>41</v>
      </c>
      <c r="F40" s="81" t="s">
        <v>76</v>
      </c>
      <c r="G40" s="81" t="s">
        <v>123</v>
      </c>
      <c r="H40" s="82">
        <v>1</v>
      </c>
      <c r="I40" s="83">
        <v>13098</v>
      </c>
      <c r="J40" s="84">
        <v>0.01</v>
      </c>
      <c r="K40" s="81" t="s">
        <v>33</v>
      </c>
      <c r="L40" s="81" t="s">
        <v>26</v>
      </c>
      <c r="M40" s="83">
        <f t="shared" si="0"/>
        <v>13098</v>
      </c>
      <c r="N40" s="83">
        <f t="shared" si="1"/>
        <v>130.97999999999999</v>
      </c>
      <c r="O40" s="83">
        <f t="shared" si="2"/>
        <v>12967.02</v>
      </c>
      <c r="P40">
        <f t="shared" si="3"/>
        <v>5</v>
      </c>
    </row>
    <row r="41" spans="1:16">
      <c r="A41" s="73">
        <v>1040</v>
      </c>
      <c r="B41" s="74" t="s">
        <v>124</v>
      </c>
      <c r="C41" s="75" t="s">
        <v>13</v>
      </c>
      <c r="D41" s="75" t="s">
        <v>82</v>
      </c>
      <c r="E41" s="75" t="s">
        <v>23</v>
      </c>
      <c r="F41" s="75" t="s">
        <v>37</v>
      </c>
      <c r="G41" s="75" t="s">
        <v>83</v>
      </c>
      <c r="H41" s="76">
        <v>7</v>
      </c>
      <c r="I41" s="77">
        <v>14708</v>
      </c>
      <c r="J41" s="78">
        <v>0.05</v>
      </c>
      <c r="K41" s="75" t="s">
        <v>33</v>
      </c>
      <c r="L41" s="75" t="s">
        <v>73</v>
      </c>
      <c r="M41" s="77">
        <f t="shared" si="0"/>
        <v>102956</v>
      </c>
      <c r="N41" s="77">
        <f t="shared" si="1"/>
        <v>5147.8</v>
      </c>
      <c r="O41" s="77">
        <f t="shared" si="2"/>
        <v>97808.2</v>
      </c>
      <c r="P41">
        <f t="shared" si="3"/>
        <v>7</v>
      </c>
    </row>
    <row r="42" spans="1:16">
      <c r="A42" s="79">
        <v>1041</v>
      </c>
      <c r="B42" s="80" t="s">
        <v>125</v>
      </c>
      <c r="C42" s="81" t="s">
        <v>21</v>
      </c>
      <c r="D42" s="81" t="s">
        <v>80</v>
      </c>
      <c r="E42" s="81" t="s">
        <v>15</v>
      </c>
      <c r="F42" s="81" t="s">
        <v>50</v>
      </c>
      <c r="G42" s="81" t="s">
        <v>126</v>
      </c>
      <c r="H42" s="82">
        <v>5</v>
      </c>
      <c r="I42" s="83">
        <v>22400</v>
      </c>
      <c r="J42" s="84">
        <v>0.08</v>
      </c>
      <c r="K42" s="81" t="s">
        <v>33</v>
      </c>
      <c r="L42" s="81" t="s">
        <v>103</v>
      </c>
      <c r="M42" s="83">
        <f t="shared" si="0"/>
        <v>112000</v>
      </c>
      <c r="N42" s="83">
        <f t="shared" si="1"/>
        <v>8960</v>
      </c>
      <c r="O42" s="83">
        <f t="shared" si="2"/>
        <v>103040</v>
      </c>
      <c r="P42">
        <f t="shared" si="3"/>
        <v>2</v>
      </c>
    </row>
    <row r="43" spans="1:16">
      <c r="A43" s="73">
        <v>1042</v>
      </c>
      <c r="B43" s="74" t="s">
        <v>108</v>
      </c>
      <c r="C43" s="75" t="s">
        <v>28</v>
      </c>
      <c r="D43" s="75" t="s">
        <v>46</v>
      </c>
      <c r="E43" s="75" t="s">
        <v>15</v>
      </c>
      <c r="F43" s="75" t="s">
        <v>16</v>
      </c>
      <c r="G43" s="75" t="s">
        <v>127</v>
      </c>
      <c r="H43" s="76">
        <v>4</v>
      </c>
      <c r="I43" s="77">
        <v>33812</v>
      </c>
      <c r="J43" s="78">
        <v>7.0000000000000007E-2</v>
      </c>
      <c r="K43" s="75" t="s">
        <v>33</v>
      </c>
      <c r="L43" s="75" t="s">
        <v>26</v>
      </c>
      <c r="M43" s="77">
        <f t="shared" si="0"/>
        <v>135248</v>
      </c>
      <c r="N43" s="77">
        <f t="shared" si="1"/>
        <v>9467.36</v>
      </c>
      <c r="O43" s="77">
        <f t="shared" si="2"/>
        <v>125780.64</v>
      </c>
      <c r="P43">
        <f t="shared" si="3"/>
        <v>7</v>
      </c>
    </row>
    <row r="44" spans="1:16">
      <c r="A44" s="79">
        <v>1043</v>
      </c>
      <c r="B44" s="80" t="s">
        <v>128</v>
      </c>
      <c r="C44" s="81" t="s">
        <v>13</v>
      </c>
      <c r="D44" s="81" t="s">
        <v>82</v>
      </c>
      <c r="E44" s="81" t="s">
        <v>41</v>
      </c>
      <c r="F44" s="81" t="s">
        <v>47</v>
      </c>
      <c r="G44" s="81" t="s">
        <v>129</v>
      </c>
      <c r="H44" s="82">
        <v>9</v>
      </c>
      <c r="I44" s="83">
        <v>21386</v>
      </c>
      <c r="J44" s="84">
        <v>0</v>
      </c>
      <c r="K44" s="81" t="s">
        <v>18</v>
      </c>
      <c r="L44" s="81" t="s">
        <v>19</v>
      </c>
      <c r="M44" s="83">
        <f t="shared" si="0"/>
        <v>192474</v>
      </c>
      <c r="N44" s="83">
        <f t="shared" si="1"/>
        <v>0</v>
      </c>
      <c r="O44" s="83">
        <f t="shared" si="2"/>
        <v>192474</v>
      </c>
      <c r="P44">
        <f t="shared" si="3"/>
        <v>7</v>
      </c>
    </row>
    <row r="45" spans="1:16">
      <c r="A45" s="73">
        <v>1044</v>
      </c>
      <c r="B45" s="74" t="s">
        <v>130</v>
      </c>
      <c r="C45" s="75" t="s">
        <v>21</v>
      </c>
      <c r="D45" s="75" t="s">
        <v>60</v>
      </c>
      <c r="E45" s="75" t="s">
        <v>23</v>
      </c>
      <c r="F45" s="75" t="s">
        <v>131</v>
      </c>
      <c r="G45" s="75" t="s">
        <v>132</v>
      </c>
      <c r="H45" s="76">
        <v>7</v>
      </c>
      <c r="I45" s="77">
        <v>17887</v>
      </c>
      <c r="J45" s="78">
        <v>0.12</v>
      </c>
      <c r="K45" s="75" t="s">
        <v>18</v>
      </c>
      <c r="L45" s="75" t="s">
        <v>39</v>
      </c>
      <c r="M45" s="77">
        <f t="shared" si="0"/>
        <v>125209</v>
      </c>
      <c r="N45" s="77">
        <f t="shared" si="1"/>
        <v>15025.08</v>
      </c>
      <c r="O45" s="77">
        <f t="shared" si="2"/>
        <v>110183.92</v>
      </c>
      <c r="P45">
        <f t="shared" si="3"/>
        <v>3</v>
      </c>
    </row>
    <row r="46" spans="1:16">
      <c r="A46" s="79">
        <v>1045</v>
      </c>
      <c r="B46" s="80" t="s">
        <v>133</v>
      </c>
      <c r="C46" s="81" t="s">
        <v>69</v>
      </c>
      <c r="D46" s="81" t="s">
        <v>72</v>
      </c>
      <c r="E46" s="81" t="s">
        <v>41</v>
      </c>
      <c r="F46" s="81" t="s">
        <v>76</v>
      </c>
      <c r="G46" s="81" t="s">
        <v>77</v>
      </c>
      <c r="H46" s="82">
        <v>1</v>
      </c>
      <c r="I46" s="83">
        <v>27770</v>
      </c>
      <c r="J46" s="84">
        <v>0.13</v>
      </c>
      <c r="K46" s="81" t="s">
        <v>18</v>
      </c>
      <c r="L46" s="81" t="s">
        <v>63</v>
      </c>
      <c r="M46" s="83">
        <f t="shared" si="0"/>
        <v>27770</v>
      </c>
      <c r="N46" s="83">
        <f t="shared" si="1"/>
        <v>3610.1</v>
      </c>
      <c r="O46" s="83">
        <f t="shared" si="2"/>
        <v>24159.9</v>
      </c>
      <c r="P46">
        <f t="shared" si="3"/>
        <v>5</v>
      </c>
    </row>
    <row r="47" spans="1:16">
      <c r="A47" s="73">
        <v>1046</v>
      </c>
      <c r="B47" s="74" t="s">
        <v>134</v>
      </c>
      <c r="C47" s="75" t="s">
        <v>28</v>
      </c>
      <c r="D47" s="75" t="s">
        <v>46</v>
      </c>
      <c r="E47" s="75" t="s">
        <v>41</v>
      </c>
      <c r="F47" s="75" t="s">
        <v>47</v>
      </c>
      <c r="G47" s="75" t="s">
        <v>135</v>
      </c>
      <c r="H47" s="76">
        <v>6</v>
      </c>
      <c r="I47" s="77">
        <v>29196</v>
      </c>
      <c r="J47" s="78">
        <v>0.19</v>
      </c>
      <c r="K47" s="75" t="s">
        <v>18</v>
      </c>
      <c r="L47" s="75" t="s">
        <v>63</v>
      </c>
      <c r="M47" s="77">
        <f t="shared" si="0"/>
        <v>175176</v>
      </c>
      <c r="N47" s="77">
        <f t="shared" si="1"/>
        <v>33283.440000000002</v>
      </c>
      <c r="O47" s="77">
        <f t="shared" si="2"/>
        <v>141892.56</v>
      </c>
      <c r="P47">
        <f t="shared" si="3"/>
        <v>3</v>
      </c>
    </row>
    <row r="48" spans="1:16">
      <c r="A48" s="79">
        <v>1047</v>
      </c>
      <c r="B48" s="80" t="s">
        <v>136</v>
      </c>
      <c r="C48" s="81" t="s">
        <v>21</v>
      </c>
      <c r="D48" s="81" t="s">
        <v>22</v>
      </c>
      <c r="E48" s="81" t="s">
        <v>15</v>
      </c>
      <c r="F48" s="81" t="s">
        <v>100</v>
      </c>
      <c r="G48" s="81" t="s">
        <v>101</v>
      </c>
      <c r="H48" s="82">
        <v>4</v>
      </c>
      <c r="I48" s="83">
        <v>43748</v>
      </c>
      <c r="J48" s="84">
        <v>0.06</v>
      </c>
      <c r="K48" s="81" t="s">
        <v>33</v>
      </c>
      <c r="L48" s="81" t="s">
        <v>26</v>
      </c>
      <c r="M48" s="83">
        <f t="shared" si="0"/>
        <v>174992</v>
      </c>
      <c r="N48" s="83">
        <f t="shared" si="1"/>
        <v>10499.52</v>
      </c>
      <c r="O48" s="83">
        <f t="shared" si="2"/>
        <v>164492.48000000001</v>
      </c>
      <c r="P48">
        <f t="shared" si="3"/>
        <v>12</v>
      </c>
    </row>
    <row r="49" spans="1:16">
      <c r="A49" s="73">
        <v>1048</v>
      </c>
      <c r="B49" s="74" t="s">
        <v>137</v>
      </c>
      <c r="C49" s="75" t="s">
        <v>21</v>
      </c>
      <c r="D49" s="75" t="s">
        <v>80</v>
      </c>
      <c r="E49" s="75" t="s">
        <v>41</v>
      </c>
      <c r="F49" s="75" t="s">
        <v>42</v>
      </c>
      <c r="G49" s="75" t="s">
        <v>43</v>
      </c>
      <c r="H49" s="76">
        <v>6</v>
      </c>
      <c r="I49" s="77">
        <v>6641</v>
      </c>
      <c r="J49" s="78">
        <v>0.1</v>
      </c>
      <c r="K49" s="75" t="s">
        <v>33</v>
      </c>
      <c r="L49" s="75" t="s">
        <v>19</v>
      </c>
      <c r="M49" s="77">
        <f t="shared" si="0"/>
        <v>39846</v>
      </c>
      <c r="N49" s="77">
        <f t="shared" si="1"/>
        <v>3984.6000000000004</v>
      </c>
      <c r="O49" s="77">
        <f t="shared" si="2"/>
        <v>35861.4</v>
      </c>
      <c r="P49">
        <f t="shared" si="3"/>
        <v>1</v>
      </c>
    </row>
    <row r="50" spans="1:16">
      <c r="A50" s="79">
        <v>1049</v>
      </c>
      <c r="B50" s="80" t="s">
        <v>138</v>
      </c>
      <c r="C50" s="81" t="s">
        <v>21</v>
      </c>
      <c r="D50" s="81" t="s">
        <v>114</v>
      </c>
      <c r="E50" s="81" t="s">
        <v>23</v>
      </c>
      <c r="F50" s="81" t="s">
        <v>24</v>
      </c>
      <c r="G50" s="81" t="s">
        <v>25</v>
      </c>
      <c r="H50" s="82">
        <v>6</v>
      </c>
      <c r="I50" s="83">
        <v>35223</v>
      </c>
      <c r="J50" s="84">
        <v>0.11</v>
      </c>
      <c r="K50" s="81" t="s">
        <v>33</v>
      </c>
      <c r="L50" s="81" t="s">
        <v>63</v>
      </c>
      <c r="M50" s="83">
        <f t="shared" si="0"/>
        <v>211338</v>
      </c>
      <c r="N50" s="83">
        <f t="shared" si="1"/>
        <v>23247.18</v>
      </c>
      <c r="O50" s="83">
        <f t="shared" si="2"/>
        <v>188090.82</v>
      </c>
      <c r="P50">
        <f t="shared" si="3"/>
        <v>8</v>
      </c>
    </row>
    <row r="51" spans="1:16">
      <c r="A51" s="73">
        <v>1050</v>
      </c>
      <c r="B51" s="74" t="s">
        <v>139</v>
      </c>
      <c r="C51" s="75" t="s">
        <v>69</v>
      </c>
      <c r="D51" s="75" t="s">
        <v>111</v>
      </c>
      <c r="E51" s="75" t="s">
        <v>41</v>
      </c>
      <c r="F51" s="75" t="s">
        <v>42</v>
      </c>
      <c r="G51" s="75" t="s">
        <v>90</v>
      </c>
      <c r="H51" s="76">
        <v>1</v>
      </c>
      <c r="I51" s="77">
        <v>25754</v>
      </c>
      <c r="J51" s="78">
        <v>0</v>
      </c>
      <c r="K51" s="75" t="s">
        <v>33</v>
      </c>
      <c r="L51" s="75" t="s">
        <v>19</v>
      </c>
      <c r="M51" s="77">
        <f t="shared" si="0"/>
        <v>25754</v>
      </c>
      <c r="N51" s="77">
        <f t="shared" si="1"/>
        <v>0</v>
      </c>
      <c r="O51" s="77">
        <f t="shared" si="2"/>
        <v>25754</v>
      </c>
      <c r="P51">
        <f t="shared" si="3"/>
        <v>6</v>
      </c>
    </row>
    <row r="52" spans="1:16">
      <c r="A52" s="79">
        <v>1051</v>
      </c>
      <c r="B52" s="80" t="s">
        <v>140</v>
      </c>
      <c r="C52" s="81" t="s">
        <v>13</v>
      </c>
      <c r="D52" s="81" t="s">
        <v>141</v>
      </c>
      <c r="E52" s="81" t="s">
        <v>30</v>
      </c>
      <c r="F52" s="81" t="s">
        <v>66</v>
      </c>
      <c r="G52" s="81" t="s">
        <v>142</v>
      </c>
      <c r="H52" s="82">
        <v>3</v>
      </c>
      <c r="I52" s="83">
        <v>13236</v>
      </c>
      <c r="J52" s="84">
        <v>0.08</v>
      </c>
      <c r="K52" s="81" t="s">
        <v>33</v>
      </c>
      <c r="L52" s="81" t="s">
        <v>39</v>
      </c>
      <c r="M52" s="83">
        <f t="shared" si="0"/>
        <v>39708</v>
      </c>
      <c r="N52" s="83">
        <f t="shared" si="1"/>
        <v>3176.64</v>
      </c>
      <c r="O52" s="83">
        <f t="shared" si="2"/>
        <v>36531.360000000001</v>
      </c>
      <c r="P52">
        <f t="shared" si="3"/>
        <v>2</v>
      </c>
    </row>
    <row r="53" spans="1:16">
      <c r="A53" s="73">
        <v>1052</v>
      </c>
      <c r="B53" s="74" t="s">
        <v>143</v>
      </c>
      <c r="C53" s="75" t="s">
        <v>28</v>
      </c>
      <c r="D53" s="75" t="s">
        <v>46</v>
      </c>
      <c r="E53" s="75" t="s">
        <v>30</v>
      </c>
      <c r="F53" s="75" t="s">
        <v>66</v>
      </c>
      <c r="G53" s="75" t="s">
        <v>142</v>
      </c>
      <c r="H53" s="76">
        <v>8</v>
      </c>
      <c r="I53" s="77">
        <v>29235</v>
      </c>
      <c r="J53" s="78">
        <v>0.16</v>
      </c>
      <c r="K53" s="75" t="s">
        <v>33</v>
      </c>
      <c r="L53" s="75" t="s">
        <v>34</v>
      </c>
      <c r="M53" s="77">
        <f t="shared" si="0"/>
        <v>233880</v>
      </c>
      <c r="N53" s="77">
        <f t="shared" si="1"/>
        <v>37420.800000000003</v>
      </c>
      <c r="O53" s="77">
        <f t="shared" si="2"/>
        <v>196459.2</v>
      </c>
      <c r="P53">
        <f t="shared" si="3"/>
        <v>4</v>
      </c>
    </row>
    <row r="54" spans="1:16">
      <c r="A54" s="79">
        <v>1053</v>
      </c>
      <c r="B54" s="80" t="s">
        <v>144</v>
      </c>
      <c r="C54" s="81" t="s">
        <v>21</v>
      </c>
      <c r="D54" s="81" t="s">
        <v>80</v>
      </c>
      <c r="E54" s="81" t="s">
        <v>15</v>
      </c>
      <c r="F54" s="81" t="s">
        <v>50</v>
      </c>
      <c r="G54" s="81" t="s">
        <v>51</v>
      </c>
      <c r="H54" s="82">
        <v>2</v>
      </c>
      <c r="I54" s="83">
        <v>46771</v>
      </c>
      <c r="J54" s="84">
        <v>0.02</v>
      </c>
      <c r="K54" s="81" t="s">
        <v>33</v>
      </c>
      <c r="L54" s="81" t="s">
        <v>26</v>
      </c>
      <c r="M54" s="83">
        <f t="shared" si="0"/>
        <v>93542</v>
      </c>
      <c r="N54" s="83">
        <f t="shared" si="1"/>
        <v>1870.8400000000001</v>
      </c>
      <c r="O54" s="83">
        <f t="shared" si="2"/>
        <v>91671.16</v>
      </c>
      <c r="P54">
        <f t="shared" si="3"/>
        <v>7</v>
      </c>
    </row>
    <row r="55" spans="1:16">
      <c r="A55" s="73">
        <v>1054</v>
      </c>
      <c r="B55" s="74" t="s">
        <v>145</v>
      </c>
      <c r="C55" s="75" t="s">
        <v>28</v>
      </c>
      <c r="D55" s="75" t="s">
        <v>58</v>
      </c>
      <c r="E55" s="75" t="s">
        <v>15</v>
      </c>
      <c r="F55" s="75" t="s">
        <v>50</v>
      </c>
      <c r="G55" s="75" t="s">
        <v>126</v>
      </c>
      <c r="H55" s="76">
        <v>10</v>
      </c>
      <c r="I55" s="77">
        <v>46646</v>
      </c>
      <c r="J55" s="78">
        <v>0.13</v>
      </c>
      <c r="K55" s="75" t="s">
        <v>33</v>
      </c>
      <c r="L55" s="75" t="s">
        <v>103</v>
      </c>
      <c r="M55" s="77">
        <f t="shared" si="0"/>
        <v>466460</v>
      </c>
      <c r="N55" s="77">
        <f t="shared" si="1"/>
        <v>60639.8</v>
      </c>
      <c r="O55" s="77">
        <f t="shared" si="2"/>
        <v>405820.2</v>
      </c>
      <c r="P55">
        <f t="shared" si="3"/>
        <v>10</v>
      </c>
    </row>
    <row r="56" spans="1:16">
      <c r="A56" s="79">
        <v>1055</v>
      </c>
      <c r="B56" s="80" t="s">
        <v>146</v>
      </c>
      <c r="C56" s="81" t="s">
        <v>69</v>
      </c>
      <c r="D56" s="81" t="s">
        <v>111</v>
      </c>
      <c r="E56" s="81" t="s">
        <v>30</v>
      </c>
      <c r="F56" s="81" t="s">
        <v>31</v>
      </c>
      <c r="G56" s="81" t="s">
        <v>88</v>
      </c>
      <c r="H56" s="82">
        <v>2</v>
      </c>
      <c r="I56" s="83">
        <v>34702</v>
      </c>
      <c r="J56" s="84">
        <v>0.15</v>
      </c>
      <c r="K56" s="81" t="s">
        <v>18</v>
      </c>
      <c r="L56" s="81" t="s">
        <v>103</v>
      </c>
      <c r="M56" s="83">
        <f t="shared" si="0"/>
        <v>69404</v>
      </c>
      <c r="N56" s="83">
        <f t="shared" si="1"/>
        <v>10410.6</v>
      </c>
      <c r="O56" s="83">
        <f t="shared" si="2"/>
        <v>58993.4</v>
      </c>
      <c r="P56">
        <f t="shared" si="3"/>
        <v>1</v>
      </c>
    </row>
    <row r="57" spans="1:16">
      <c r="A57" s="73">
        <v>1056</v>
      </c>
      <c r="B57" s="74" t="s">
        <v>147</v>
      </c>
      <c r="C57" s="75" t="s">
        <v>28</v>
      </c>
      <c r="D57" s="75" t="s">
        <v>58</v>
      </c>
      <c r="E57" s="75" t="s">
        <v>15</v>
      </c>
      <c r="F57" s="75" t="s">
        <v>100</v>
      </c>
      <c r="G57" s="75" t="s">
        <v>101</v>
      </c>
      <c r="H57" s="76">
        <v>7</v>
      </c>
      <c r="I57" s="77">
        <v>811</v>
      </c>
      <c r="J57" s="78">
        <v>0.17</v>
      </c>
      <c r="K57" s="75" t="s">
        <v>33</v>
      </c>
      <c r="L57" s="75" t="s">
        <v>39</v>
      </c>
      <c r="M57" s="77">
        <f t="shared" si="0"/>
        <v>5677</v>
      </c>
      <c r="N57" s="77">
        <f t="shared" si="1"/>
        <v>965.09</v>
      </c>
      <c r="O57" s="77">
        <f t="shared" si="2"/>
        <v>4711.91</v>
      </c>
      <c r="P57">
        <f t="shared" si="3"/>
        <v>6</v>
      </c>
    </row>
    <row r="58" spans="1:16">
      <c r="A58" s="79">
        <v>1057</v>
      </c>
      <c r="B58" s="80" t="s">
        <v>145</v>
      </c>
      <c r="C58" s="81" t="s">
        <v>69</v>
      </c>
      <c r="D58" s="81" t="s">
        <v>70</v>
      </c>
      <c r="E58" s="81" t="s">
        <v>15</v>
      </c>
      <c r="F58" s="81" t="s">
        <v>100</v>
      </c>
      <c r="G58" s="81" t="s">
        <v>148</v>
      </c>
      <c r="H58" s="82">
        <v>3</v>
      </c>
      <c r="I58" s="83">
        <v>40029</v>
      </c>
      <c r="J58" s="84">
        <v>0.01</v>
      </c>
      <c r="K58" s="81" t="s">
        <v>33</v>
      </c>
      <c r="L58" s="81" t="s">
        <v>44</v>
      </c>
      <c r="M58" s="83">
        <f t="shared" si="0"/>
        <v>120087</v>
      </c>
      <c r="N58" s="83">
        <f t="shared" si="1"/>
        <v>1200.8700000000001</v>
      </c>
      <c r="O58" s="83">
        <f t="shared" si="2"/>
        <v>118886.13</v>
      </c>
      <c r="P58">
        <f t="shared" si="3"/>
        <v>10</v>
      </c>
    </row>
    <row r="59" spans="1:16">
      <c r="A59" s="73">
        <v>1058</v>
      </c>
      <c r="B59" s="74" t="s">
        <v>99</v>
      </c>
      <c r="C59" s="75" t="s">
        <v>21</v>
      </c>
      <c r="D59" s="75" t="s">
        <v>22</v>
      </c>
      <c r="E59" s="75" t="s">
        <v>30</v>
      </c>
      <c r="F59" s="75" t="s">
        <v>66</v>
      </c>
      <c r="G59" s="75" t="s">
        <v>142</v>
      </c>
      <c r="H59" s="76">
        <v>7</v>
      </c>
      <c r="I59" s="77">
        <v>14322</v>
      </c>
      <c r="J59" s="78">
        <v>0.19</v>
      </c>
      <c r="K59" s="75" t="s">
        <v>33</v>
      </c>
      <c r="L59" s="75" t="s">
        <v>19</v>
      </c>
      <c r="M59" s="77">
        <f t="shared" si="0"/>
        <v>100254</v>
      </c>
      <c r="N59" s="77">
        <f t="shared" si="1"/>
        <v>19048.260000000002</v>
      </c>
      <c r="O59" s="77">
        <f t="shared" si="2"/>
        <v>81205.739999999991</v>
      </c>
      <c r="P59">
        <f t="shared" si="3"/>
        <v>4</v>
      </c>
    </row>
    <row r="60" spans="1:16">
      <c r="A60" s="79">
        <v>1059</v>
      </c>
      <c r="B60" s="80" t="s">
        <v>149</v>
      </c>
      <c r="C60" s="81" t="s">
        <v>69</v>
      </c>
      <c r="D60" s="81" t="s">
        <v>111</v>
      </c>
      <c r="E60" s="81" t="s">
        <v>30</v>
      </c>
      <c r="F60" s="81" t="s">
        <v>55</v>
      </c>
      <c r="G60" s="81" t="s">
        <v>150</v>
      </c>
      <c r="H60" s="82">
        <v>8</v>
      </c>
      <c r="I60" s="83">
        <v>47465</v>
      </c>
      <c r="J60" s="84">
        <v>0.03</v>
      </c>
      <c r="K60" s="81" t="s">
        <v>33</v>
      </c>
      <c r="L60" s="81" t="s">
        <v>63</v>
      </c>
      <c r="M60" s="83">
        <f t="shared" si="0"/>
        <v>379720</v>
      </c>
      <c r="N60" s="83">
        <f t="shared" si="1"/>
        <v>11391.6</v>
      </c>
      <c r="O60" s="83">
        <f t="shared" si="2"/>
        <v>368328.4</v>
      </c>
      <c r="P60">
        <f t="shared" si="3"/>
        <v>11</v>
      </c>
    </row>
    <row r="61" spans="1:16">
      <c r="A61" s="73">
        <v>1060</v>
      </c>
      <c r="B61" s="74" t="s">
        <v>139</v>
      </c>
      <c r="C61" s="75" t="s">
        <v>13</v>
      </c>
      <c r="D61" s="75" t="s">
        <v>93</v>
      </c>
      <c r="E61" s="75" t="s">
        <v>15</v>
      </c>
      <c r="F61" s="75" t="s">
        <v>85</v>
      </c>
      <c r="G61" s="75" t="s">
        <v>151</v>
      </c>
      <c r="H61" s="76">
        <v>3</v>
      </c>
      <c r="I61" s="77">
        <v>4508</v>
      </c>
      <c r="J61" s="78">
        <v>0.02</v>
      </c>
      <c r="K61" s="75" t="s">
        <v>33</v>
      </c>
      <c r="L61" s="75" t="s">
        <v>34</v>
      </c>
      <c r="M61" s="77">
        <f t="shared" si="0"/>
        <v>13524</v>
      </c>
      <c r="N61" s="77">
        <f t="shared" si="1"/>
        <v>270.48</v>
      </c>
      <c r="O61" s="77">
        <f t="shared" si="2"/>
        <v>13253.52</v>
      </c>
      <c r="P61">
        <f t="shared" si="3"/>
        <v>6</v>
      </c>
    </row>
    <row r="62" spans="1:16">
      <c r="A62" s="79">
        <v>1061</v>
      </c>
      <c r="B62" s="80" t="s">
        <v>152</v>
      </c>
      <c r="C62" s="81" t="s">
        <v>28</v>
      </c>
      <c r="D62" s="81" t="s">
        <v>36</v>
      </c>
      <c r="E62" s="81" t="s">
        <v>30</v>
      </c>
      <c r="F62" s="81" t="s">
        <v>61</v>
      </c>
      <c r="G62" s="81" t="s">
        <v>153</v>
      </c>
      <c r="H62" s="82">
        <v>6</v>
      </c>
      <c r="I62" s="83">
        <v>21510</v>
      </c>
      <c r="J62" s="84">
        <v>0.05</v>
      </c>
      <c r="K62" s="81" t="s">
        <v>33</v>
      </c>
      <c r="L62" s="81" t="s">
        <v>73</v>
      </c>
      <c r="M62" s="83">
        <f t="shared" si="0"/>
        <v>129060</v>
      </c>
      <c r="N62" s="83">
        <f t="shared" si="1"/>
        <v>6453</v>
      </c>
      <c r="O62" s="83">
        <f t="shared" si="2"/>
        <v>122607</v>
      </c>
      <c r="P62">
        <f t="shared" si="3"/>
        <v>9</v>
      </c>
    </row>
    <row r="63" spans="1:16">
      <c r="A63" s="73">
        <v>1062</v>
      </c>
      <c r="B63" s="74" t="s">
        <v>154</v>
      </c>
      <c r="C63" s="75" t="s">
        <v>28</v>
      </c>
      <c r="D63" s="75" t="s">
        <v>36</v>
      </c>
      <c r="E63" s="75" t="s">
        <v>23</v>
      </c>
      <c r="F63" s="75" t="s">
        <v>155</v>
      </c>
      <c r="G63" s="75" t="s">
        <v>156</v>
      </c>
      <c r="H63" s="76">
        <v>9</v>
      </c>
      <c r="I63" s="77">
        <v>6713</v>
      </c>
      <c r="J63" s="78">
        <v>0.14000000000000001</v>
      </c>
      <c r="K63" s="75" t="s">
        <v>33</v>
      </c>
      <c r="L63" s="75" t="s">
        <v>39</v>
      </c>
      <c r="M63" s="77">
        <f t="shared" si="0"/>
        <v>60417</v>
      </c>
      <c r="N63" s="77">
        <f t="shared" si="1"/>
        <v>8458.380000000001</v>
      </c>
      <c r="O63" s="77">
        <f t="shared" si="2"/>
        <v>51958.619999999995</v>
      </c>
      <c r="P63">
        <f t="shared" si="3"/>
        <v>12</v>
      </c>
    </row>
    <row r="64" spans="1:16">
      <c r="A64" s="79">
        <v>1063</v>
      </c>
      <c r="B64" s="80" t="s">
        <v>157</v>
      </c>
      <c r="C64" s="81" t="s">
        <v>13</v>
      </c>
      <c r="D64" s="81" t="s">
        <v>93</v>
      </c>
      <c r="E64" s="81" t="s">
        <v>30</v>
      </c>
      <c r="F64" s="81" t="s">
        <v>31</v>
      </c>
      <c r="G64" s="81" t="s">
        <v>88</v>
      </c>
      <c r="H64" s="82">
        <v>10</v>
      </c>
      <c r="I64" s="83">
        <v>10054</v>
      </c>
      <c r="J64" s="84">
        <v>0.11</v>
      </c>
      <c r="K64" s="81" t="s">
        <v>33</v>
      </c>
      <c r="L64" s="81" t="s">
        <v>26</v>
      </c>
      <c r="M64" s="83">
        <f t="shared" si="0"/>
        <v>100540</v>
      </c>
      <c r="N64" s="83">
        <f t="shared" si="1"/>
        <v>11059.4</v>
      </c>
      <c r="O64" s="83">
        <f t="shared" si="2"/>
        <v>89480.6</v>
      </c>
      <c r="P64">
        <f t="shared" si="3"/>
        <v>8</v>
      </c>
    </row>
    <row r="65" spans="1:16">
      <c r="A65" s="73">
        <v>1064</v>
      </c>
      <c r="B65" s="74" t="s">
        <v>158</v>
      </c>
      <c r="C65" s="75" t="s">
        <v>69</v>
      </c>
      <c r="D65" s="75" t="s">
        <v>70</v>
      </c>
      <c r="E65" s="75" t="s">
        <v>23</v>
      </c>
      <c r="F65" s="75" t="s">
        <v>37</v>
      </c>
      <c r="G65" s="75" t="s">
        <v>38</v>
      </c>
      <c r="H65" s="76">
        <v>7</v>
      </c>
      <c r="I65" s="77">
        <v>6538</v>
      </c>
      <c r="J65" s="78">
        <v>0</v>
      </c>
      <c r="K65" s="75" t="s">
        <v>18</v>
      </c>
      <c r="L65" s="75" t="s">
        <v>73</v>
      </c>
      <c r="M65" s="77">
        <f t="shared" si="0"/>
        <v>45766</v>
      </c>
      <c r="N65" s="77">
        <f t="shared" si="1"/>
        <v>0</v>
      </c>
      <c r="O65" s="77">
        <f t="shared" si="2"/>
        <v>45766</v>
      </c>
      <c r="P65">
        <f t="shared" si="3"/>
        <v>7</v>
      </c>
    </row>
    <row r="66" spans="1:16">
      <c r="A66" s="79">
        <v>1065</v>
      </c>
      <c r="B66" s="80" t="s">
        <v>159</v>
      </c>
      <c r="C66" s="81" t="s">
        <v>13</v>
      </c>
      <c r="D66" s="81" t="s">
        <v>14</v>
      </c>
      <c r="E66" s="81" t="s">
        <v>23</v>
      </c>
      <c r="F66" s="81" t="s">
        <v>24</v>
      </c>
      <c r="G66" s="81" t="s">
        <v>94</v>
      </c>
      <c r="H66" s="82">
        <v>3</v>
      </c>
      <c r="I66" s="83">
        <v>42025</v>
      </c>
      <c r="J66" s="84">
        <v>7.0000000000000007E-2</v>
      </c>
      <c r="K66" s="81" t="s">
        <v>18</v>
      </c>
      <c r="L66" s="81" t="s">
        <v>39</v>
      </c>
      <c r="M66" s="83">
        <f t="shared" si="0"/>
        <v>126075</v>
      </c>
      <c r="N66" s="83">
        <f t="shared" si="1"/>
        <v>8825.25</v>
      </c>
      <c r="O66" s="83">
        <f t="shared" si="2"/>
        <v>117249.75</v>
      </c>
      <c r="P66">
        <f t="shared" si="3"/>
        <v>5</v>
      </c>
    </row>
    <row r="67" spans="1:16">
      <c r="A67" s="73">
        <v>1066</v>
      </c>
      <c r="B67" s="74" t="s">
        <v>160</v>
      </c>
      <c r="C67" s="75" t="s">
        <v>28</v>
      </c>
      <c r="D67" s="75" t="s">
        <v>58</v>
      </c>
      <c r="E67" s="75" t="s">
        <v>15</v>
      </c>
      <c r="F67" s="75" t="s">
        <v>50</v>
      </c>
      <c r="G67" s="75" t="s">
        <v>51</v>
      </c>
      <c r="H67" s="76">
        <v>1</v>
      </c>
      <c r="I67" s="77">
        <v>38321</v>
      </c>
      <c r="J67" s="78">
        <v>0.08</v>
      </c>
      <c r="K67" s="75" t="s">
        <v>18</v>
      </c>
      <c r="L67" s="75" t="s">
        <v>44</v>
      </c>
      <c r="M67" s="77">
        <f t="shared" ref="M67:M130" si="4">H67*I67</f>
        <v>38321</v>
      </c>
      <c r="N67" s="77">
        <f t="shared" ref="N67:N130" si="5">M67*J67</f>
        <v>3065.6800000000003</v>
      </c>
      <c r="O67" s="77">
        <f t="shared" ref="O67:O130" si="6">M67-N67</f>
        <v>35255.32</v>
      </c>
      <c r="P67">
        <f t="shared" ref="P67:P130" si="7">MONTH(B67)</f>
        <v>6</v>
      </c>
    </row>
    <row r="68" spans="1:16">
      <c r="A68" s="79">
        <v>1067</v>
      </c>
      <c r="B68" s="80" t="s">
        <v>161</v>
      </c>
      <c r="C68" s="81" t="s">
        <v>69</v>
      </c>
      <c r="D68" s="81" t="s">
        <v>75</v>
      </c>
      <c r="E68" s="81" t="s">
        <v>23</v>
      </c>
      <c r="F68" s="81" t="s">
        <v>24</v>
      </c>
      <c r="G68" s="81" t="s">
        <v>94</v>
      </c>
      <c r="H68" s="82">
        <v>1</v>
      </c>
      <c r="I68" s="83">
        <v>17539</v>
      </c>
      <c r="J68" s="84">
        <v>0.2</v>
      </c>
      <c r="K68" s="81" t="s">
        <v>18</v>
      </c>
      <c r="L68" s="81" t="s">
        <v>63</v>
      </c>
      <c r="M68" s="83">
        <f t="shared" si="4"/>
        <v>17539</v>
      </c>
      <c r="N68" s="83">
        <f t="shared" si="5"/>
        <v>3507.8</v>
      </c>
      <c r="O68" s="83">
        <f t="shared" si="6"/>
        <v>14031.2</v>
      </c>
      <c r="P68">
        <f t="shared" si="7"/>
        <v>6</v>
      </c>
    </row>
    <row r="69" spans="1:16">
      <c r="A69" s="73">
        <v>1068</v>
      </c>
      <c r="B69" s="74" t="s">
        <v>162</v>
      </c>
      <c r="C69" s="75" t="s">
        <v>21</v>
      </c>
      <c r="D69" s="75" t="s">
        <v>60</v>
      </c>
      <c r="E69" s="75" t="s">
        <v>30</v>
      </c>
      <c r="F69" s="75" t="s">
        <v>61</v>
      </c>
      <c r="G69" s="75" t="s">
        <v>163</v>
      </c>
      <c r="H69" s="76">
        <v>3</v>
      </c>
      <c r="I69" s="77">
        <v>1343</v>
      </c>
      <c r="J69" s="78">
        <v>0.17</v>
      </c>
      <c r="K69" s="75" t="s">
        <v>18</v>
      </c>
      <c r="L69" s="75" t="s">
        <v>44</v>
      </c>
      <c r="M69" s="77">
        <f t="shared" si="4"/>
        <v>4029</v>
      </c>
      <c r="N69" s="77">
        <f t="shared" si="5"/>
        <v>684.93000000000006</v>
      </c>
      <c r="O69" s="77">
        <f t="shared" si="6"/>
        <v>3344.0699999999997</v>
      </c>
      <c r="P69">
        <f t="shared" si="7"/>
        <v>5</v>
      </c>
    </row>
    <row r="70" spans="1:16">
      <c r="A70" s="79">
        <v>1069</v>
      </c>
      <c r="B70" s="80" t="s">
        <v>164</v>
      </c>
      <c r="C70" s="81" t="s">
        <v>13</v>
      </c>
      <c r="D70" s="81" t="s">
        <v>82</v>
      </c>
      <c r="E70" s="81" t="s">
        <v>15</v>
      </c>
      <c r="F70" s="81" t="s">
        <v>16</v>
      </c>
      <c r="G70" s="81" t="s">
        <v>127</v>
      </c>
      <c r="H70" s="82">
        <v>1</v>
      </c>
      <c r="I70" s="83">
        <v>49922</v>
      </c>
      <c r="J70" s="84">
        <v>0.02</v>
      </c>
      <c r="K70" s="81" t="s">
        <v>33</v>
      </c>
      <c r="L70" s="81" t="s">
        <v>26</v>
      </c>
      <c r="M70" s="83">
        <f t="shared" si="4"/>
        <v>49922</v>
      </c>
      <c r="N70" s="83">
        <f t="shared" si="5"/>
        <v>998.44</v>
      </c>
      <c r="O70" s="83">
        <f t="shared" si="6"/>
        <v>48923.56</v>
      </c>
      <c r="P70">
        <f t="shared" si="7"/>
        <v>10</v>
      </c>
    </row>
    <row r="71" spans="1:16">
      <c r="A71" s="73">
        <v>1070</v>
      </c>
      <c r="B71" s="74" t="s">
        <v>136</v>
      </c>
      <c r="C71" s="75" t="s">
        <v>69</v>
      </c>
      <c r="D71" s="75" t="s">
        <v>72</v>
      </c>
      <c r="E71" s="75" t="s">
        <v>15</v>
      </c>
      <c r="F71" s="75" t="s">
        <v>100</v>
      </c>
      <c r="G71" s="75" t="s">
        <v>148</v>
      </c>
      <c r="H71" s="76">
        <v>9</v>
      </c>
      <c r="I71" s="77">
        <v>10629</v>
      </c>
      <c r="J71" s="78">
        <v>0.13</v>
      </c>
      <c r="K71" s="75" t="s">
        <v>33</v>
      </c>
      <c r="L71" s="75" t="s">
        <v>44</v>
      </c>
      <c r="M71" s="77">
        <f t="shared" si="4"/>
        <v>95661</v>
      </c>
      <c r="N71" s="77">
        <f t="shared" si="5"/>
        <v>12435.93</v>
      </c>
      <c r="O71" s="77">
        <f t="shared" si="6"/>
        <v>83225.070000000007</v>
      </c>
      <c r="P71">
        <f t="shared" si="7"/>
        <v>12</v>
      </c>
    </row>
    <row r="72" spans="1:16">
      <c r="A72" s="79">
        <v>1071</v>
      </c>
      <c r="B72" s="80" t="s">
        <v>165</v>
      </c>
      <c r="C72" s="81" t="s">
        <v>69</v>
      </c>
      <c r="D72" s="81" t="s">
        <v>72</v>
      </c>
      <c r="E72" s="81" t="s">
        <v>23</v>
      </c>
      <c r="F72" s="81" t="s">
        <v>155</v>
      </c>
      <c r="G72" s="81" t="s">
        <v>156</v>
      </c>
      <c r="H72" s="82">
        <v>4</v>
      </c>
      <c r="I72" s="83">
        <v>10394</v>
      </c>
      <c r="J72" s="84">
        <v>0.11</v>
      </c>
      <c r="K72" s="81" t="s">
        <v>18</v>
      </c>
      <c r="L72" s="81" t="s">
        <v>103</v>
      </c>
      <c r="M72" s="83">
        <f t="shared" si="4"/>
        <v>41576</v>
      </c>
      <c r="N72" s="83">
        <f t="shared" si="5"/>
        <v>4573.3599999999997</v>
      </c>
      <c r="O72" s="83">
        <f t="shared" si="6"/>
        <v>37002.639999999999</v>
      </c>
      <c r="P72">
        <f t="shared" si="7"/>
        <v>11</v>
      </c>
    </row>
    <row r="73" spans="1:16">
      <c r="A73" s="73">
        <v>1072</v>
      </c>
      <c r="B73" s="74" t="s">
        <v>166</v>
      </c>
      <c r="C73" s="75" t="s">
        <v>21</v>
      </c>
      <c r="D73" s="75" t="s">
        <v>80</v>
      </c>
      <c r="E73" s="75" t="s">
        <v>41</v>
      </c>
      <c r="F73" s="75" t="s">
        <v>42</v>
      </c>
      <c r="G73" s="75" t="s">
        <v>167</v>
      </c>
      <c r="H73" s="76">
        <v>8</v>
      </c>
      <c r="I73" s="77">
        <v>8454</v>
      </c>
      <c r="J73" s="78">
        <v>0.12</v>
      </c>
      <c r="K73" s="75" t="s">
        <v>18</v>
      </c>
      <c r="L73" s="75" t="s">
        <v>34</v>
      </c>
      <c r="M73" s="77">
        <f t="shared" si="4"/>
        <v>67632</v>
      </c>
      <c r="N73" s="77">
        <f t="shared" si="5"/>
        <v>8115.84</v>
      </c>
      <c r="O73" s="77">
        <f t="shared" si="6"/>
        <v>59516.160000000003</v>
      </c>
      <c r="P73">
        <f t="shared" si="7"/>
        <v>8</v>
      </c>
    </row>
    <row r="74" spans="1:16">
      <c r="A74" s="79">
        <v>1073</v>
      </c>
      <c r="B74" s="80" t="s">
        <v>168</v>
      </c>
      <c r="C74" s="81" t="s">
        <v>69</v>
      </c>
      <c r="D74" s="81" t="s">
        <v>75</v>
      </c>
      <c r="E74" s="81" t="s">
        <v>30</v>
      </c>
      <c r="F74" s="81" t="s">
        <v>66</v>
      </c>
      <c r="G74" s="81" t="s">
        <v>67</v>
      </c>
      <c r="H74" s="82">
        <v>9</v>
      </c>
      <c r="I74" s="83">
        <v>36897</v>
      </c>
      <c r="J74" s="84">
        <v>0.06</v>
      </c>
      <c r="K74" s="81" t="s">
        <v>18</v>
      </c>
      <c r="L74" s="81" t="s">
        <v>34</v>
      </c>
      <c r="M74" s="83">
        <f t="shared" si="4"/>
        <v>332073</v>
      </c>
      <c r="N74" s="83">
        <f t="shared" si="5"/>
        <v>19924.38</v>
      </c>
      <c r="O74" s="83">
        <f t="shared" si="6"/>
        <v>312148.62</v>
      </c>
      <c r="P74">
        <f t="shared" si="7"/>
        <v>4</v>
      </c>
    </row>
    <row r="75" spans="1:16">
      <c r="A75" s="73">
        <v>1074</v>
      </c>
      <c r="B75" s="74" t="s">
        <v>169</v>
      </c>
      <c r="C75" s="75" t="s">
        <v>21</v>
      </c>
      <c r="D75" s="75" t="s">
        <v>114</v>
      </c>
      <c r="E75" s="75" t="s">
        <v>15</v>
      </c>
      <c r="F75" s="75" t="s">
        <v>85</v>
      </c>
      <c r="G75" s="75" t="s">
        <v>151</v>
      </c>
      <c r="H75" s="76">
        <v>2</v>
      </c>
      <c r="I75" s="77">
        <v>26407</v>
      </c>
      <c r="J75" s="78">
        <v>0.11</v>
      </c>
      <c r="K75" s="75" t="s">
        <v>18</v>
      </c>
      <c r="L75" s="75" t="s">
        <v>34</v>
      </c>
      <c r="M75" s="77">
        <f t="shared" si="4"/>
        <v>52814</v>
      </c>
      <c r="N75" s="77">
        <f t="shared" si="5"/>
        <v>5809.54</v>
      </c>
      <c r="O75" s="77">
        <f t="shared" si="6"/>
        <v>47004.46</v>
      </c>
      <c r="P75">
        <f t="shared" si="7"/>
        <v>5</v>
      </c>
    </row>
    <row r="76" spans="1:16">
      <c r="A76" s="79">
        <v>1075</v>
      </c>
      <c r="B76" s="80" t="s">
        <v>170</v>
      </c>
      <c r="C76" s="81" t="s">
        <v>28</v>
      </c>
      <c r="D76" s="81" t="s">
        <v>36</v>
      </c>
      <c r="E76" s="81" t="s">
        <v>30</v>
      </c>
      <c r="F76" s="81" t="s">
        <v>61</v>
      </c>
      <c r="G76" s="81" t="s">
        <v>163</v>
      </c>
      <c r="H76" s="82">
        <v>2</v>
      </c>
      <c r="I76" s="83">
        <v>3114</v>
      </c>
      <c r="J76" s="84">
        <v>0.12</v>
      </c>
      <c r="K76" s="81" t="s">
        <v>18</v>
      </c>
      <c r="L76" s="81" t="s">
        <v>26</v>
      </c>
      <c r="M76" s="83">
        <f t="shared" si="4"/>
        <v>6228</v>
      </c>
      <c r="N76" s="83">
        <f t="shared" si="5"/>
        <v>747.36</v>
      </c>
      <c r="O76" s="83">
        <f t="shared" si="6"/>
        <v>5480.64</v>
      </c>
      <c r="P76">
        <f t="shared" si="7"/>
        <v>12</v>
      </c>
    </row>
    <row r="77" spans="1:16">
      <c r="A77" s="73">
        <v>1076</v>
      </c>
      <c r="B77" s="74" t="s">
        <v>171</v>
      </c>
      <c r="C77" s="75" t="s">
        <v>69</v>
      </c>
      <c r="D77" s="75" t="s">
        <v>70</v>
      </c>
      <c r="E77" s="75" t="s">
        <v>23</v>
      </c>
      <c r="F77" s="75" t="s">
        <v>131</v>
      </c>
      <c r="G77" s="75" t="s">
        <v>172</v>
      </c>
      <c r="H77" s="76">
        <v>8</v>
      </c>
      <c r="I77" s="77">
        <v>24515</v>
      </c>
      <c r="J77" s="78">
        <v>0.14000000000000001</v>
      </c>
      <c r="K77" s="75" t="s">
        <v>33</v>
      </c>
      <c r="L77" s="75" t="s">
        <v>63</v>
      </c>
      <c r="M77" s="77">
        <f t="shared" si="4"/>
        <v>196120</v>
      </c>
      <c r="N77" s="77">
        <f t="shared" si="5"/>
        <v>27456.800000000003</v>
      </c>
      <c r="O77" s="77">
        <f t="shared" si="6"/>
        <v>168663.2</v>
      </c>
      <c r="P77">
        <f t="shared" si="7"/>
        <v>6</v>
      </c>
    </row>
    <row r="78" spans="1:16">
      <c r="A78" s="79">
        <v>1077</v>
      </c>
      <c r="B78" s="80" t="s">
        <v>173</v>
      </c>
      <c r="C78" s="81" t="s">
        <v>21</v>
      </c>
      <c r="D78" s="81" t="s">
        <v>60</v>
      </c>
      <c r="E78" s="81" t="s">
        <v>41</v>
      </c>
      <c r="F78" s="81" t="s">
        <v>115</v>
      </c>
      <c r="G78" s="81" t="s">
        <v>174</v>
      </c>
      <c r="H78" s="82">
        <v>6</v>
      </c>
      <c r="I78" s="83">
        <v>25155</v>
      </c>
      <c r="J78" s="84">
        <v>0.08</v>
      </c>
      <c r="K78" s="81" t="s">
        <v>33</v>
      </c>
      <c r="L78" s="81" t="s">
        <v>19</v>
      </c>
      <c r="M78" s="83">
        <f t="shared" si="4"/>
        <v>150930</v>
      </c>
      <c r="N78" s="83">
        <f t="shared" si="5"/>
        <v>12074.4</v>
      </c>
      <c r="O78" s="83">
        <f t="shared" si="6"/>
        <v>138855.6</v>
      </c>
      <c r="P78">
        <f t="shared" si="7"/>
        <v>1</v>
      </c>
    </row>
    <row r="79" spans="1:16">
      <c r="A79" s="73">
        <v>1078</v>
      </c>
      <c r="B79" s="74" t="s">
        <v>175</v>
      </c>
      <c r="C79" s="75" t="s">
        <v>21</v>
      </c>
      <c r="D79" s="75" t="s">
        <v>114</v>
      </c>
      <c r="E79" s="75" t="s">
        <v>15</v>
      </c>
      <c r="F79" s="75" t="s">
        <v>85</v>
      </c>
      <c r="G79" s="75" t="s">
        <v>151</v>
      </c>
      <c r="H79" s="76">
        <v>8</v>
      </c>
      <c r="I79" s="77">
        <v>12474</v>
      </c>
      <c r="J79" s="78">
        <v>0.14000000000000001</v>
      </c>
      <c r="K79" s="75" t="s">
        <v>18</v>
      </c>
      <c r="L79" s="75" t="s">
        <v>19</v>
      </c>
      <c r="M79" s="77">
        <f t="shared" si="4"/>
        <v>99792</v>
      </c>
      <c r="N79" s="77">
        <f t="shared" si="5"/>
        <v>13970.880000000001</v>
      </c>
      <c r="O79" s="77">
        <f t="shared" si="6"/>
        <v>85821.119999999995</v>
      </c>
      <c r="P79">
        <f t="shared" si="7"/>
        <v>7</v>
      </c>
    </row>
    <row r="80" spans="1:16">
      <c r="A80" s="79">
        <v>1079</v>
      </c>
      <c r="B80" s="80" t="s">
        <v>176</v>
      </c>
      <c r="C80" s="81" t="s">
        <v>28</v>
      </c>
      <c r="D80" s="81" t="s">
        <v>36</v>
      </c>
      <c r="E80" s="81" t="s">
        <v>15</v>
      </c>
      <c r="F80" s="81" t="s">
        <v>16</v>
      </c>
      <c r="G80" s="81" t="s">
        <v>53</v>
      </c>
      <c r="H80" s="82">
        <v>5</v>
      </c>
      <c r="I80" s="83">
        <v>21432</v>
      </c>
      <c r="J80" s="84">
        <v>0.1</v>
      </c>
      <c r="K80" s="81" t="s">
        <v>18</v>
      </c>
      <c r="L80" s="81" t="s">
        <v>63</v>
      </c>
      <c r="M80" s="83">
        <f t="shared" si="4"/>
        <v>107160</v>
      </c>
      <c r="N80" s="83">
        <f t="shared" si="5"/>
        <v>10716</v>
      </c>
      <c r="O80" s="83">
        <f t="shared" si="6"/>
        <v>96444</v>
      </c>
      <c r="P80">
        <f t="shared" si="7"/>
        <v>1</v>
      </c>
    </row>
    <row r="81" spans="1:16">
      <c r="A81" s="73">
        <v>1080</v>
      </c>
      <c r="B81" s="74" t="s">
        <v>177</v>
      </c>
      <c r="C81" s="75" t="s">
        <v>21</v>
      </c>
      <c r="D81" s="75" t="s">
        <v>60</v>
      </c>
      <c r="E81" s="75" t="s">
        <v>15</v>
      </c>
      <c r="F81" s="75" t="s">
        <v>16</v>
      </c>
      <c r="G81" s="75" t="s">
        <v>53</v>
      </c>
      <c r="H81" s="76">
        <v>7</v>
      </c>
      <c r="I81" s="77">
        <v>41716</v>
      </c>
      <c r="J81" s="78">
        <v>0.16</v>
      </c>
      <c r="K81" s="75" t="s">
        <v>18</v>
      </c>
      <c r="L81" s="75" t="s">
        <v>44</v>
      </c>
      <c r="M81" s="77">
        <f t="shared" si="4"/>
        <v>292012</v>
      </c>
      <c r="N81" s="77">
        <f t="shared" si="5"/>
        <v>46721.919999999998</v>
      </c>
      <c r="O81" s="77">
        <f t="shared" si="6"/>
        <v>245290.08000000002</v>
      </c>
      <c r="P81">
        <f t="shared" si="7"/>
        <v>1</v>
      </c>
    </row>
    <row r="82" spans="1:16">
      <c r="A82" s="79">
        <v>1081</v>
      </c>
      <c r="B82" s="80" t="s">
        <v>178</v>
      </c>
      <c r="C82" s="81" t="s">
        <v>69</v>
      </c>
      <c r="D82" s="81" t="s">
        <v>111</v>
      </c>
      <c r="E82" s="81" t="s">
        <v>30</v>
      </c>
      <c r="F82" s="81" t="s">
        <v>31</v>
      </c>
      <c r="G82" s="81" t="s">
        <v>109</v>
      </c>
      <c r="H82" s="82">
        <v>9</v>
      </c>
      <c r="I82" s="83">
        <v>29852</v>
      </c>
      <c r="J82" s="84">
        <v>0.11</v>
      </c>
      <c r="K82" s="81" t="s">
        <v>33</v>
      </c>
      <c r="L82" s="81" t="s">
        <v>103</v>
      </c>
      <c r="M82" s="83">
        <f t="shared" si="4"/>
        <v>268668</v>
      </c>
      <c r="N82" s="83">
        <f t="shared" si="5"/>
        <v>29553.48</v>
      </c>
      <c r="O82" s="83">
        <f t="shared" si="6"/>
        <v>239114.52</v>
      </c>
      <c r="P82">
        <f t="shared" si="7"/>
        <v>6</v>
      </c>
    </row>
    <row r="83" spans="1:16">
      <c r="A83" s="73">
        <v>1082</v>
      </c>
      <c r="B83" s="74" t="s">
        <v>179</v>
      </c>
      <c r="C83" s="75" t="s">
        <v>69</v>
      </c>
      <c r="D83" s="75" t="s">
        <v>72</v>
      </c>
      <c r="E83" s="75" t="s">
        <v>41</v>
      </c>
      <c r="F83" s="75" t="s">
        <v>115</v>
      </c>
      <c r="G83" s="75" t="s">
        <v>180</v>
      </c>
      <c r="H83" s="76">
        <v>9</v>
      </c>
      <c r="I83" s="77">
        <v>43258</v>
      </c>
      <c r="J83" s="78">
        <v>0.02</v>
      </c>
      <c r="K83" s="75" t="s">
        <v>18</v>
      </c>
      <c r="L83" s="75" t="s">
        <v>26</v>
      </c>
      <c r="M83" s="77">
        <f t="shared" si="4"/>
        <v>389322</v>
      </c>
      <c r="N83" s="77">
        <f t="shared" si="5"/>
        <v>7786.4400000000005</v>
      </c>
      <c r="O83" s="77">
        <f t="shared" si="6"/>
        <v>381535.56</v>
      </c>
      <c r="P83">
        <f t="shared" si="7"/>
        <v>10</v>
      </c>
    </row>
    <row r="84" spans="1:16">
      <c r="A84" s="79">
        <v>1083</v>
      </c>
      <c r="B84" s="80" t="s">
        <v>181</v>
      </c>
      <c r="C84" s="81" t="s">
        <v>21</v>
      </c>
      <c r="D84" s="81" t="s">
        <v>80</v>
      </c>
      <c r="E84" s="81" t="s">
        <v>15</v>
      </c>
      <c r="F84" s="81" t="s">
        <v>85</v>
      </c>
      <c r="G84" s="81" t="s">
        <v>151</v>
      </c>
      <c r="H84" s="82">
        <v>5</v>
      </c>
      <c r="I84" s="83">
        <v>42489</v>
      </c>
      <c r="J84" s="84">
        <v>0.03</v>
      </c>
      <c r="K84" s="81" t="s">
        <v>33</v>
      </c>
      <c r="L84" s="81" t="s">
        <v>63</v>
      </c>
      <c r="M84" s="83">
        <f t="shared" si="4"/>
        <v>212445</v>
      </c>
      <c r="N84" s="83">
        <f t="shared" si="5"/>
        <v>6373.3499999999995</v>
      </c>
      <c r="O84" s="83">
        <f t="shared" si="6"/>
        <v>206071.65</v>
      </c>
      <c r="P84">
        <f t="shared" si="7"/>
        <v>10</v>
      </c>
    </row>
    <row r="85" spans="1:16">
      <c r="A85" s="73">
        <v>1084</v>
      </c>
      <c r="B85" s="74" t="s">
        <v>182</v>
      </c>
      <c r="C85" s="75" t="s">
        <v>69</v>
      </c>
      <c r="D85" s="75" t="s">
        <v>70</v>
      </c>
      <c r="E85" s="75" t="s">
        <v>23</v>
      </c>
      <c r="F85" s="75" t="s">
        <v>24</v>
      </c>
      <c r="G85" s="75" t="s">
        <v>25</v>
      </c>
      <c r="H85" s="76">
        <v>10</v>
      </c>
      <c r="I85" s="77">
        <v>27301</v>
      </c>
      <c r="J85" s="78">
        <v>0.15</v>
      </c>
      <c r="K85" s="75" t="s">
        <v>18</v>
      </c>
      <c r="L85" s="75" t="s">
        <v>19</v>
      </c>
      <c r="M85" s="77">
        <f t="shared" si="4"/>
        <v>273010</v>
      </c>
      <c r="N85" s="77">
        <f t="shared" si="5"/>
        <v>40951.5</v>
      </c>
      <c r="O85" s="77">
        <f t="shared" si="6"/>
        <v>232058.5</v>
      </c>
      <c r="P85">
        <f t="shared" si="7"/>
        <v>12</v>
      </c>
    </row>
    <row r="86" spans="1:16">
      <c r="A86" s="79">
        <v>1085</v>
      </c>
      <c r="B86" s="80" t="s">
        <v>183</v>
      </c>
      <c r="C86" s="81" t="s">
        <v>13</v>
      </c>
      <c r="D86" s="81" t="s">
        <v>93</v>
      </c>
      <c r="E86" s="81" t="s">
        <v>41</v>
      </c>
      <c r="F86" s="81" t="s">
        <v>115</v>
      </c>
      <c r="G86" s="81" t="s">
        <v>180</v>
      </c>
      <c r="H86" s="82">
        <v>3</v>
      </c>
      <c r="I86" s="83">
        <v>37824</v>
      </c>
      <c r="J86" s="84">
        <v>0.06</v>
      </c>
      <c r="K86" s="81" t="s">
        <v>33</v>
      </c>
      <c r="L86" s="81" t="s">
        <v>103</v>
      </c>
      <c r="M86" s="83">
        <f t="shared" si="4"/>
        <v>113472</v>
      </c>
      <c r="N86" s="83">
        <f t="shared" si="5"/>
        <v>6808.32</v>
      </c>
      <c r="O86" s="83">
        <f t="shared" si="6"/>
        <v>106663.67999999999</v>
      </c>
      <c r="P86">
        <f t="shared" si="7"/>
        <v>8</v>
      </c>
    </row>
    <row r="87" spans="1:16">
      <c r="A87" s="73">
        <v>1086</v>
      </c>
      <c r="B87" s="74" t="s">
        <v>184</v>
      </c>
      <c r="C87" s="75" t="s">
        <v>28</v>
      </c>
      <c r="D87" s="75" t="s">
        <v>29</v>
      </c>
      <c r="E87" s="75" t="s">
        <v>41</v>
      </c>
      <c r="F87" s="75" t="s">
        <v>47</v>
      </c>
      <c r="G87" s="75" t="s">
        <v>48</v>
      </c>
      <c r="H87" s="76">
        <v>4</v>
      </c>
      <c r="I87" s="77">
        <v>41988</v>
      </c>
      <c r="J87" s="78">
        <v>0.12</v>
      </c>
      <c r="K87" s="75" t="s">
        <v>18</v>
      </c>
      <c r="L87" s="75" t="s">
        <v>73</v>
      </c>
      <c r="M87" s="77">
        <f t="shared" si="4"/>
        <v>167952</v>
      </c>
      <c r="N87" s="77">
        <f t="shared" si="5"/>
        <v>20154.239999999998</v>
      </c>
      <c r="O87" s="77">
        <f t="shared" si="6"/>
        <v>147797.76000000001</v>
      </c>
      <c r="P87">
        <f t="shared" si="7"/>
        <v>12</v>
      </c>
    </row>
    <row r="88" spans="1:16">
      <c r="A88" s="79">
        <v>1087</v>
      </c>
      <c r="B88" s="80" t="s">
        <v>161</v>
      </c>
      <c r="C88" s="81" t="s">
        <v>13</v>
      </c>
      <c r="D88" s="81" t="s">
        <v>141</v>
      </c>
      <c r="E88" s="81" t="s">
        <v>23</v>
      </c>
      <c r="F88" s="81" t="s">
        <v>24</v>
      </c>
      <c r="G88" s="81" t="s">
        <v>94</v>
      </c>
      <c r="H88" s="82">
        <v>5</v>
      </c>
      <c r="I88" s="83">
        <v>18016</v>
      </c>
      <c r="J88" s="84">
        <v>7.0000000000000007E-2</v>
      </c>
      <c r="K88" s="81" t="s">
        <v>33</v>
      </c>
      <c r="L88" s="81" t="s">
        <v>19</v>
      </c>
      <c r="M88" s="83">
        <f t="shared" si="4"/>
        <v>90080</v>
      </c>
      <c r="N88" s="83">
        <f t="shared" si="5"/>
        <v>6305.6</v>
      </c>
      <c r="O88" s="83">
        <f t="shared" si="6"/>
        <v>83774.399999999994</v>
      </c>
      <c r="P88">
        <f t="shared" si="7"/>
        <v>6</v>
      </c>
    </row>
    <row r="89" spans="1:16">
      <c r="A89" s="73">
        <v>1088</v>
      </c>
      <c r="B89" s="74" t="s">
        <v>185</v>
      </c>
      <c r="C89" s="75" t="s">
        <v>21</v>
      </c>
      <c r="D89" s="75" t="s">
        <v>22</v>
      </c>
      <c r="E89" s="75" t="s">
        <v>23</v>
      </c>
      <c r="F89" s="75" t="s">
        <v>24</v>
      </c>
      <c r="G89" s="75" t="s">
        <v>98</v>
      </c>
      <c r="H89" s="76">
        <v>8</v>
      </c>
      <c r="I89" s="77">
        <v>11486</v>
      </c>
      <c r="J89" s="78">
        <v>0.17</v>
      </c>
      <c r="K89" s="75" t="s">
        <v>18</v>
      </c>
      <c r="L89" s="75" t="s">
        <v>44</v>
      </c>
      <c r="M89" s="77">
        <f t="shared" si="4"/>
        <v>91888</v>
      </c>
      <c r="N89" s="77">
        <f t="shared" si="5"/>
        <v>15620.960000000001</v>
      </c>
      <c r="O89" s="77">
        <f t="shared" si="6"/>
        <v>76267.039999999994</v>
      </c>
      <c r="P89">
        <f t="shared" si="7"/>
        <v>7</v>
      </c>
    </row>
    <row r="90" spans="1:16">
      <c r="A90" s="79">
        <v>1089</v>
      </c>
      <c r="B90" s="80" t="s">
        <v>186</v>
      </c>
      <c r="C90" s="81" t="s">
        <v>69</v>
      </c>
      <c r="D90" s="81" t="s">
        <v>72</v>
      </c>
      <c r="E90" s="81" t="s">
        <v>41</v>
      </c>
      <c r="F90" s="81" t="s">
        <v>76</v>
      </c>
      <c r="G90" s="81" t="s">
        <v>106</v>
      </c>
      <c r="H90" s="82">
        <v>8</v>
      </c>
      <c r="I90" s="83">
        <v>33981</v>
      </c>
      <c r="J90" s="84">
        <v>0.13</v>
      </c>
      <c r="K90" s="81" t="s">
        <v>33</v>
      </c>
      <c r="L90" s="81" t="s">
        <v>34</v>
      </c>
      <c r="M90" s="83">
        <f t="shared" si="4"/>
        <v>271848</v>
      </c>
      <c r="N90" s="83">
        <f t="shared" si="5"/>
        <v>35340.239999999998</v>
      </c>
      <c r="O90" s="83">
        <f t="shared" si="6"/>
        <v>236507.76</v>
      </c>
      <c r="P90">
        <f t="shared" si="7"/>
        <v>3</v>
      </c>
    </row>
    <row r="91" spans="1:16">
      <c r="A91" s="73">
        <v>1090</v>
      </c>
      <c r="B91" s="74" t="s">
        <v>187</v>
      </c>
      <c r="C91" s="75" t="s">
        <v>28</v>
      </c>
      <c r="D91" s="75" t="s">
        <v>36</v>
      </c>
      <c r="E91" s="75" t="s">
        <v>15</v>
      </c>
      <c r="F91" s="75" t="s">
        <v>85</v>
      </c>
      <c r="G91" s="75" t="s">
        <v>118</v>
      </c>
      <c r="H91" s="76">
        <v>9</v>
      </c>
      <c r="I91" s="77">
        <v>23864</v>
      </c>
      <c r="J91" s="78">
        <v>0.01</v>
      </c>
      <c r="K91" s="75" t="s">
        <v>33</v>
      </c>
      <c r="L91" s="75" t="s">
        <v>63</v>
      </c>
      <c r="M91" s="77">
        <f t="shared" si="4"/>
        <v>214776</v>
      </c>
      <c r="N91" s="77">
        <f t="shared" si="5"/>
        <v>2147.7600000000002</v>
      </c>
      <c r="O91" s="77">
        <f t="shared" si="6"/>
        <v>212628.24</v>
      </c>
      <c r="P91">
        <f t="shared" si="7"/>
        <v>10</v>
      </c>
    </row>
    <row r="92" spans="1:16">
      <c r="A92" s="79">
        <v>1091</v>
      </c>
      <c r="B92" s="80" t="s">
        <v>188</v>
      </c>
      <c r="C92" s="81" t="s">
        <v>28</v>
      </c>
      <c r="D92" s="81" t="s">
        <v>29</v>
      </c>
      <c r="E92" s="81" t="s">
        <v>41</v>
      </c>
      <c r="F92" s="81" t="s">
        <v>42</v>
      </c>
      <c r="G92" s="81" t="s">
        <v>90</v>
      </c>
      <c r="H92" s="82">
        <v>6</v>
      </c>
      <c r="I92" s="83">
        <v>38835</v>
      </c>
      <c r="J92" s="84">
        <v>0.12</v>
      </c>
      <c r="K92" s="81" t="s">
        <v>18</v>
      </c>
      <c r="L92" s="81" t="s">
        <v>44</v>
      </c>
      <c r="M92" s="83">
        <f t="shared" si="4"/>
        <v>233010</v>
      </c>
      <c r="N92" s="83">
        <f t="shared" si="5"/>
        <v>27961.200000000001</v>
      </c>
      <c r="O92" s="83">
        <f t="shared" si="6"/>
        <v>205048.8</v>
      </c>
      <c r="P92">
        <f t="shared" si="7"/>
        <v>2</v>
      </c>
    </row>
    <row r="93" spans="1:16">
      <c r="A93" s="73">
        <v>1092</v>
      </c>
      <c r="B93" s="74" t="s">
        <v>189</v>
      </c>
      <c r="C93" s="75" t="s">
        <v>28</v>
      </c>
      <c r="D93" s="75" t="s">
        <v>29</v>
      </c>
      <c r="E93" s="75" t="s">
        <v>23</v>
      </c>
      <c r="F93" s="75" t="s">
        <v>131</v>
      </c>
      <c r="G93" s="75" t="s">
        <v>132</v>
      </c>
      <c r="H93" s="76">
        <v>6</v>
      </c>
      <c r="I93" s="77">
        <v>35216</v>
      </c>
      <c r="J93" s="78">
        <v>0.2</v>
      </c>
      <c r="K93" s="75" t="s">
        <v>33</v>
      </c>
      <c r="L93" s="75" t="s">
        <v>44</v>
      </c>
      <c r="M93" s="77">
        <f t="shared" si="4"/>
        <v>211296</v>
      </c>
      <c r="N93" s="77">
        <f t="shared" si="5"/>
        <v>42259.200000000004</v>
      </c>
      <c r="O93" s="77">
        <f t="shared" si="6"/>
        <v>169036.79999999999</v>
      </c>
      <c r="P93">
        <f t="shared" si="7"/>
        <v>9</v>
      </c>
    </row>
    <row r="94" spans="1:16">
      <c r="A94" s="79">
        <v>1093</v>
      </c>
      <c r="B94" s="80" t="s">
        <v>190</v>
      </c>
      <c r="C94" s="81" t="s">
        <v>69</v>
      </c>
      <c r="D94" s="81" t="s">
        <v>70</v>
      </c>
      <c r="E94" s="81" t="s">
        <v>23</v>
      </c>
      <c r="F94" s="81" t="s">
        <v>24</v>
      </c>
      <c r="G94" s="81" t="s">
        <v>25</v>
      </c>
      <c r="H94" s="82">
        <v>1</v>
      </c>
      <c r="I94" s="83">
        <v>14263</v>
      </c>
      <c r="J94" s="84">
        <v>0.19</v>
      </c>
      <c r="K94" s="81" t="s">
        <v>18</v>
      </c>
      <c r="L94" s="81" t="s">
        <v>44</v>
      </c>
      <c r="M94" s="83">
        <f t="shared" si="4"/>
        <v>14263</v>
      </c>
      <c r="N94" s="83">
        <f t="shared" si="5"/>
        <v>2709.9700000000003</v>
      </c>
      <c r="O94" s="83">
        <f t="shared" si="6"/>
        <v>11553.029999999999</v>
      </c>
      <c r="P94">
        <f t="shared" si="7"/>
        <v>1</v>
      </c>
    </row>
    <row r="95" spans="1:16">
      <c r="A95" s="73">
        <v>1094</v>
      </c>
      <c r="B95" s="74" t="s">
        <v>191</v>
      </c>
      <c r="C95" s="75" t="s">
        <v>28</v>
      </c>
      <c r="D95" s="75" t="s">
        <v>46</v>
      </c>
      <c r="E95" s="75" t="s">
        <v>41</v>
      </c>
      <c r="F95" s="75" t="s">
        <v>42</v>
      </c>
      <c r="G95" s="75" t="s">
        <v>43</v>
      </c>
      <c r="H95" s="76">
        <v>9</v>
      </c>
      <c r="I95" s="77">
        <v>1612</v>
      </c>
      <c r="J95" s="78">
        <v>0.09</v>
      </c>
      <c r="K95" s="75" t="s">
        <v>18</v>
      </c>
      <c r="L95" s="75" t="s">
        <v>34</v>
      </c>
      <c r="M95" s="77">
        <f t="shared" si="4"/>
        <v>14508</v>
      </c>
      <c r="N95" s="77">
        <f t="shared" si="5"/>
        <v>1305.72</v>
      </c>
      <c r="O95" s="77">
        <f t="shared" si="6"/>
        <v>13202.28</v>
      </c>
      <c r="P95">
        <f t="shared" si="7"/>
        <v>6</v>
      </c>
    </row>
    <row r="96" spans="1:16">
      <c r="A96" s="79">
        <v>1095</v>
      </c>
      <c r="B96" s="80" t="s">
        <v>192</v>
      </c>
      <c r="C96" s="81" t="s">
        <v>69</v>
      </c>
      <c r="D96" s="81" t="s">
        <v>72</v>
      </c>
      <c r="E96" s="81" t="s">
        <v>23</v>
      </c>
      <c r="F96" s="81" t="s">
        <v>155</v>
      </c>
      <c r="G96" s="81" t="s">
        <v>193</v>
      </c>
      <c r="H96" s="82">
        <v>5</v>
      </c>
      <c r="I96" s="83">
        <v>10549</v>
      </c>
      <c r="J96" s="84">
        <v>0.13</v>
      </c>
      <c r="K96" s="81" t="s">
        <v>33</v>
      </c>
      <c r="L96" s="81" t="s">
        <v>26</v>
      </c>
      <c r="M96" s="83">
        <f t="shared" si="4"/>
        <v>52745</v>
      </c>
      <c r="N96" s="83">
        <f t="shared" si="5"/>
        <v>6856.85</v>
      </c>
      <c r="O96" s="83">
        <f t="shared" si="6"/>
        <v>45888.15</v>
      </c>
      <c r="P96">
        <f t="shared" si="7"/>
        <v>11</v>
      </c>
    </row>
    <row r="97" spans="1:16">
      <c r="A97" s="73">
        <v>1096</v>
      </c>
      <c r="B97" s="74" t="s">
        <v>194</v>
      </c>
      <c r="C97" s="75" t="s">
        <v>69</v>
      </c>
      <c r="D97" s="75" t="s">
        <v>70</v>
      </c>
      <c r="E97" s="75" t="s">
        <v>41</v>
      </c>
      <c r="F97" s="75" t="s">
        <v>115</v>
      </c>
      <c r="G97" s="75" t="s">
        <v>116</v>
      </c>
      <c r="H97" s="76">
        <v>8</v>
      </c>
      <c r="I97" s="77">
        <v>36450</v>
      </c>
      <c r="J97" s="78">
        <v>0.06</v>
      </c>
      <c r="K97" s="75" t="s">
        <v>33</v>
      </c>
      <c r="L97" s="75" t="s">
        <v>34</v>
      </c>
      <c r="M97" s="77">
        <f t="shared" si="4"/>
        <v>291600</v>
      </c>
      <c r="N97" s="77">
        <f t="shared" si="5"/>
        <v>17496</v>
      </c>
      <c r="O97" s="77">
        <f t="shared" si="6"/>
        <v>274104</v>
      </c>
      <c r="P97">
        <f t="shared" si="7"/>
        <v>2</v>
      </c>
    </row>
    <row r="98" spans="1:16">
      <c r="A98" s="79">
        <v>1097</v>
      </c>
      <c r="B98" s="80" t="s">
        <v>171</v>
      </c>
      <c r="C98" s="81" t="s">
        <v>69</v>
      </c>
      <c r="D98" s="81" t="s">
        <v>111</v>
      </c>
      <c r="E98" s="81" t="s">
        <v>23</v>
      </c>
      <c r="F98" s="81" t="s">
        <v>24</v>
      </c>
      <c r="G98" s="81" t="s">
        <v>25</v>
      </c>
      <c r="H98" s="82">
        <v>5</v>
      </c>
      <c r="I98" s="83">
        <v>45114</v>
      </c>
      <c r="J98" s="84">
        <v>0.12</v>
      </c>
      <c r="K98" s="81" t="s">
        <v>18</v>
      </c>
      <c r="L98" s="81" t="s">
        <v>44</v>
      </c>
      <c r="M98" s="83">
        <f t="shared" si="4"/>
        <v>225570</v>
      </c>
      <c r="N98" s="83">
        <f t="shared" si="5"/>
        <v>27068.399999999998</v>
      </c>
      <c r="O98" s="83">
        <f t="shared" si="6"/>
        <v>198501.6</v>
      </c>
      <c r="P98">
        <f t="shared" si="7"/>
        <v>6</v>
      </c>
    </row>
    <row r="99" spans="1:16">
      <c r="A99" s="73">
        <v>1098</v>
      </c>
      <c r="B99" s="74" t="s">
        <v>35</v>
      </c>
      <c r="C99" s="75" t="s">
        <v>28</v>
      </c>
      <c r="D99" s="75" t="s">
        <v>46</v>
      </c>
      <c r="E99" s="75" t="s">
        <v>23</v>
      </c>
      <c r="F99" s="75" t="s">
        <v>155</v>
      </c>
      <c r="G99" s="75" t="s">
        <v>193</v>
      </c>
      <c r="H99" s="76">
        <v>2</v>
      </c>
      <c r="I99" s="77">
        <v>12984</v>
      </c>
      <c r="J99" s="78">
        <v>0.1</v>
      </c>
      <c r="K99" s="75" t="s">
        <v>33</v>
      </c>
      <c r="L99" s="75" t="s">
        <v>34</v>
      </c>
      <c r="M99" s="77">
        <f t="shared" si="4"/>
        <v>25968</v>
      </c>
      <c r="N99" s="77">
        <f t="shared" si="5"/>
        <v>2596.8000000000002</v>
      </c>
      <c r="O99" s="77">
        <f t="shared" si="6"/>
        <v>23371.200000000001</v>
      </c>
      <c r="P99">
        <f t="shared" si="7"/>
        <v>8</v>
      </c>
    </row>
    <row r="100" spans="1:16">
      <c r="A100" s="79">
        <v>1099</v>
      </c>
      <c r="B100" s="80" t="s">
        <v>195</v>
      </c>
      <c r="C100" s="81" t="s">
        <v>69</v>
      </c>
      <c r="D100" s="81" t="s">
        <v>111</v>
      </c>
      <c r="E100" s="81" t="s">
        <v>41</v>
      </c>
      <c r="F100" s="81" t="s">
        <v>76</v>
      </c>
      <c r="G100" s="81" t="s">
        <v>77</v>
      </c>
      <c r="H100" s="82">
        <v>7</v>
      </c>
      <c r="I100" s="83">
        <v>22071</v>
      </c>
      <c r="J100" s="84">
        <v>0.01</v>
      </c>
      <c r="K100" s="81" t="s">
        <v>33</v>
      </c>
      <c r="L100" s="81" t="s">
        <v>34</v>
      </c>
      <c r="M100" s="83">
        <f t="shared" si="4"/>
        <v>154497</v>
      </c>
      <c r="N100" s="83">
        <f t="shared" si="5"/>
        <v>1544.97</v>
      </c>
      <c r="O100" s="83">
        <f t="shared" si="6"/>
        <v>152952.03</v>
      </c>
      <c r="P100">
        <f t="shared" si="7"/>
        <v>10</v>
      </c>
    </row>
    <row r="101" spans="1:16">
      <c r="A101" s="73">
        <v>1100</v>
      </c>
      <c r="B101" s="74" t="s">
        <v>12</v>
      </c>
      <c r="C101" s="75" t="s">
        <v>21</v>
      </c>
      <c r="D101" s="75" t="s">
        <v>60</v>
      </c>
      <c r="E101" s="75" t="s">
        <v>23</v>
      </c>
      <c r="F101" s="75" t="s">
        <v>37</v>
      </c>
      <c r="G101" s="75" t="s">
        <v>38</v>
      </c>
      <c r="H101" s="76">
        <v>10</v>
      </c>
      <c r="I101" s="77">
        <v>8406</v>
      </c>
      <c r="J101" s="78">
        <v>7.0000000000000007E-2</v>
      </c>
      <c r="K101" s="75" t="s">
        <v>18</v>
      </c>
      <c r="L101" s="75" t="s">
        <v>19</v>
      </c>
      <c r="M101" s="77">
        <f t="shared" si="4"/>
        <v>84060</v>
      </c>
      <c r="N101" s="77">
        <f t="shared" si="5"/>
        <v>5884.2000000000007</v>
      </c>
      <c r="O101" s="77">
        <f t="shared" si="6"/>
        <v>78175.8</v>
      </c>
      <c r="P101">
        <f t="shared" si="7"/>
        <v>4</v>
      </c>
    </row>
    <row r="102" spans="1:16">
      <c r="A102" s="79">
        <v>1101</v>
      </c>
      <c r="B102" s="80" t="s">
        <v>196</v>
      </c>
      <c r="C102" s="81" t="s">
        <v>28</v>
      </c>
      <c r="D102" s="81" t="s">
        <v>36</v>
      </c>
      <c r="E102" s="81" t="s">
        <v>23</v>
      </c>
      <c r="F102" s="81" t="s">
        <v>37</v>
      </c>
      <c r="G102" s="81" t="s">
        <v>38</v>
      </c>
      <c r="H102" s="82">
        <v>2</v>
      </c>
      <c r="I102" s="83">
        <v>19806</v>
      </c>
      <c r="J102" s="84">
        <v>0.05</v>
      </c>
      <c r="K102" s="81" t="s">
        <v>33</v>
      </c>
      <c r="L102" s="81" t="s">
        <v>73</v>
      </c>
      <c r="M102" s="83">
        <f t="shared" si="4"/>
        <v>39612</v>
      </c>
      <c r="N102" s="83">
        <f t="shared" si="5"/>
        <v>1980.6000000000001</v>
      </c>
      <c r="O102" s="83">
        <f t="shared" si="6"/>
        <v>37631.4</v>
      </c>
      <c r="P102">
        <f t="shared" si="7"/>
        <v>12</v>
      </c>
    </row>
    <row r="103" spans="1:16">
      <c r="A103" s="73">
        <v>1102</v>
      </c>
      <c r="B103" s="74" t="s">
        <v>197</v>
      </c>
      <c r="C103" s="75" t="s">
        <v>13</v>
      </c>
      <c r="D103" s="75" t="s">
        <v>141</v>
      </c>
      <c r="E103" s="75" t="s">
        <v>15</v>
      </c>
      <c r="F103" s="75" t="s">
        <v>50</v>
      </c>
      <c r="G103" s="75" t="s">
        <v>51</v>
      </c>
      <c r="H103" s="76">
        <v>10</v>
      </c>
      <c r="I103" s="77">
        <v>10205</v>
      </c>
      <c r="J103" s="78">
        <v>0.02</v>
      </c>
      <c r="K103" s="75" t="s">
        <v>33</v>
      </c>
      <c r="L103" s="75" t="s">
        <v>73</v>
      </c>
      <c r="M103" s="77">
        <f t="shared" si="4"/>
        <v>102050</v>
      </c>
      <c r="N103" s="77">
        <f t="shared" si="5"/>
        <v>2041</v>
      </c>
      <c r="O103" s="77">
        <f t="shared" si="6"/>
        <v>100009</v>
      </c>
      <c r="P103">
        <f t="shared" si="7"/>
        <v>3</v>
      </c>
    </row>
    <row r="104" spans="1:16">
      <c r="A104" s="79">
        <v>1103</v>
      </c>
      <c r="B104" s="80" t="s">
        <v>198</v>
      </c>
      <c r="C104" s="81" t="s">
        <v>28</v>
      </c>
      <c r="D104" s="81" t="s">
        <v>36</v>
      </c>
      <c r="E104" s="81" t="s">
        <v>30</v>
      </c>
      <c r="F104" s="81" t="s">
        <v>66</v>
      </c>
      <c r="G104" s="81" t="s">
        <v>199</v>
      </c>
      <c r="H104" s="82">
        <v>4</v>
      </c>
      <c r="I104" s="83">
        <v>31257</v>
      </c>
      <c r="J104" s="84">
        <v>0.11</v>
      </c>
      <c r="K104" s="81" t="s">
        <v>33</v>
      </c>
      <c r="L104" s="81" t="s">
        <v>63</v>
      </c>
      <c r="M104" s="83">
        <f t="shared" si="4"/>
        <v>125028</v>
      </c>
      <c r="N104" s="83">
        <f t="shared" si="5"/>
        <v>13753.08</v>
      </c>
      <c r="O104" s="83">
        <f t="shared" si="6"/>
        <v>111274.92</v>
      </c>
      <c r="P104">
        <f t="shared" si="7"/>
        <v>12</v>
      </c>
    </row>
    <row r="105" spans="1:16">
      <c r="A105" s="73">
        <v>1104</v>
      </c>
      <c r="B105" s="74" t="s">
        <v>200</v>
      </c>
      <c r="C105" s="75" t="s">
        <v>28</v>
      </c>
      <c r="D105" s="75" t="s">
        <v>29</v>
      </c>
      <c r="E105" s="75" t="s">
        <v>41</v>
      </c>
      <c r="F105" s="75" t="s">
        <v>76</v>
      </c>
      <c r="G105" s="75" t="s">
        <v>123</v>
      </c>
      <c r="H105" s="76">
        <v>7</v>
      </c>
      <c r="I105" s="77">
        <v>45758</v>
      </c>
      <c r="J105" s="78">
        <v>0.03</v>
      </c>
      <c r="K105" s="75" t="s">
        <v>18</v>
      </c>
      <c r="L105" s="75" t="s">
        <v>103</v>
      </c>
      <c r="M105" s="77">
        <f t="shared" si="4"/>
        <v>320306</v>
      </c>
      <c r="N105" s="77">
        <f t="shared" si="5"/>
        <v>9609.18</v>
      </c>
      <c r="O105" s="77">
        <f t="shared" si="6"/>
        <v>310696.82</v>
      </c>
      <c r="P105">
        <f t="shared" si="7"/>
        <v>1</v>
      </c>
    </row>
    <row r="106" spans="1:16">
      <c r="A106" s="79">
        <v>1105</v>
      </c>
      <c r="B106" s="80" t="s">
        <v>201</v>
      </c>
      <c r="C106" s="81" t="s">
        <v>21</v>
      </c>
      <c r="D106" s="81" t="s">
        <v>114</v>
      </c>
      <c r="E106" s="81" t="s">
        <v>41</v>
      </c>
      <c r="F106" s="81" t="s">
        <v>42</v>
      </c>
      <c r="G106" s="81" t="s">
        <v>167</v>
      </c>
      <c r="H106" s="82">
        <v>3</v>
      </c>
      <c r="I106" s="83">
        <v>1357</v>
      </c>
      <c r="J106" s="84">
        <v>0.19</v>
      </c>
      <c r="K106" s="81" t="s">
        <v>18</v>
      </c>
      <c r="L106" s="81" t="s">
        <v>26</v>
      </c>
      <c r="M106" s="83">
        <f t="shared" si="4"/>
        <v>4071</v>
      </c>
      <c r="N106" s="83">
        <f t="shared" si="5"/>
        <v>773.49</v>
      </c>
      <c r="O106" s="83">
        <f t="shared" si="6"/>
        <v>3297.51</v>
      </c>
      <c r="P106">
        <f t="shared" si="7"/>
        <v>2</v>
      </c>
    </row>
    <row r="107" spans="1:16">
      <c r="A107" s="73">
        <v>1106</v>
      </c>
      <c r="B107" s="74" t="s">
        <v>202</v>
      </c>
      <c r="C107" s="75" t="s">
        <v>13</v>
      </c>
      <c r="D107" s="75" t="s">
        <v>141</v>
      </c>
      <c r="E107" s="75" t="s">
        <v>30</v>
      </c>
      <c r="F107" s="75" t="s">
        <v>31</v>
      </c>
      <c r="G107" s="75" t="s">
        <v>88</v>
      </c>
      <c r="H107" s="76">
        <v>1</v>
      </c>
      <c r="I107" s="77">
        <v>21761</v>
      </c>
      <c r="J107" s="78">
        <v>0.18</v>
      </c>
      <c r="K107" s="75" t="s">
        <v>18</v>
      </c>
      <c r="L107" s="75" t="s">
        <v>39</v>
      </c>
      <c r="M107" s="77">
        <f t="shared" si="4"/>
        <v>21761</v>
      </c>
      <c r="N107" s="77">
        <f t="shared" si="5"/>
        <v>3916.98</v>
      </c>
      <c r="O107" s="77">
        <f t="shared" si="6"/>
        <v>17844.02</v>
      </c>
      <c r="P107">
        <f t="shared" si="7"/>
        <v>1</v>
      </c>
    </row>
    <row r="108" spans="1:16">
      <c r="A108" s="79">
        <v>1107</v>
      </c>
      <c r="B108" s="80" t="s">
        <v>203</v>
      </c>
      <c r="C108" s="81" t="s">
        <v>21</v>
      </c>
      <c r="D108" s="81" t="s">
        <v>80</v>
      </c>
      <c r="E108" s="81" t="s">
        <v>41</v>
      </c>
      <c r="F108" s="81" t="s">
        <v>42</v>
      </c>
      <c r="G108" s="81" t="s">
        <v>90</v>
      </c>
      <c r="H108" s="82">
        <v>6</v>
      </c>
      <c r="I108" s="83">
        <v>18512</v>
      </c>
      <c r="J108" s="84">
        <v>0.17</v>
      </c>
      <c r="K108" s="81" t="s">
        <v>33</v>
      </c>
      <c r="L108" s="81" t="s">
        <v>63</v>
      </c>
      <c r="M108" s="83">
        <f t="shared" si="4"/>
        <v>111072</v>
      </c>
      <c r="N108" s="83">
        <f t="shared" si="5"/>
        <v>18882.240000000002</v>
      </c>
      <c r="O108" s="83">
        <f t="shared" si="6"/>
        <v>92189.759999999995</v>
      </c>
      <c r="P108">
        <f t="shared" si="7"/>
        <v>8</v>
      </c>
    </row>
    <row r="109" spans="1:16">
      <c r="A109" s="73">
        <v>1108</v>
      </c>
      <c r="B109" s="74" t="s">
        <v>204</v>
      </c>
      <c r="C109" s="75" t="s">
        <v>28</v>
      </c>
      <c r="D109" s="75" t="s">
        <v>36</v>
      </c>
      <c r="E109" s="75" t="s">
        <v>30</v>
      </c>
      <c r="F109" s="75" t="s">
        <v>55</v>
      </c>
      <c r="G109" s="75" t="s">
        <v>150</v>
      </c>
      <c r="H109" s="76">
        <v>7</v>
      </c>
      <c r="I109" s="77">
        <v>39773</v>
      </c>
      <c r="J109" s="78">
        <v>0.04</v>
      </c>
      <c r="K109" s="75" t="s">
        <v>18</v>
      </c>
      <c r="L109" s="75" t="s">
        <v>63</v>
      </c>
      <c r="M109" s="77">
        <f t="shared" si="4"/>
        <v>278411</v>
      </c>
      <c r="N109" s="77">
        <f t="shared" si="5"/>
        <v>11136.44</v>
      </c>
      <c r="O109" s="77">
        <f t="shared" si="6"/>
        <v>267274.56</v>
      </c>
      <c r="P109">
        <f t="shared" si="7"/>
        <v>1</v>
      </c>
    </row>
    <row r="110" spans="1:16">
      <c r="A110" s="79">
        <v>1109</v>
      </c>
      <c r="B110" s="80" t="s">
        <v>64</v>
      </c>
      <c r="C110" s="81" t="s">
        <v>28</v>
      </c>
      <c r="D110" s="81" t="s">
        <v>29</v>
      </c>
      <c r="E110" s="81" t="s">
        <v>41</v>
      </c>
      <c r="F110" s="81" t="s">
        <v>115</v>
      </c>
      <c r="G110" s="81" t="s">
        <v>180</v>
      </c>
      <c r="H110" s="82">
        <v>1</v>
      </c>
      <c r="I110" s="83">
        <v>35493</v>
      </c>
      <c r="J110" s="84">
        <v>0.03</v>
      </c>
      <c r="K110" s="81" t="s">
        <v>33</v>
      </c>
      <c r="L110" s="81" t="s">
        <v>103</v>
      </c>
      <c r="M110" s="83">
        <f t="shared" si="4"/>
        <v>35493</v>
      </c>
      <c r="N110" s="83">
        <f t="shared" si="5"/>
        <v>1064.79</v>
      </c>
      <c r="O110" s="83">
        <f t="shared" si="6"/>
        <v>34428.21</v>
      </c>
      <c r="P110">
        <f t="shared" si="7"/>
        <v>12</v>
      </c>
    </row>
    <row r="111" spans="1:16">
      <c r="A111" s="73">
        <v>1110</v>
      </c>
      <c r="B111" s="74" t="s">
        <v>205</v>
      </c>
      <c r="C111" s="75" t="s">
        <v>28</v>
      </c>
      <c r="D111" s="75" t="s">
        <v>29</v>
      </c>
      <c r="E111" s="75" t="s">
        <v>30</v>
      </c>
      <c r="F111" s="75" t="s">
        <v>31</v>
      </c>
      <c r="G111" s="75" t="s">
        <v>88</v>
      </c>
      <c r="H111" s="76">
        <v>7</v>
      </c>
      <c r="I111" s="77">
        <v>9371</v>
      </c>
      <c r="J111" s="78">
        <v>0.05</v>
      </c>
      <c r="K111" s="75" t="s">
        <v>33</v>
      </c>
      <c r="L111" s="75" t="s">
        <v>44</v>
      </c>
      <c r="M111" s="77">
        <f t="shared" si="4"/>
        <v>65597</v>
      </c>
      <c r="N111" s="77">
        <f t="shared" si="5"/>
        <v>3279.8500000000004</v>
      </c>
      <c r="O111" s="77">
        <f t="shared" si="6"/>
        <v>62317.15</v>
      </c>
      <c r="P111">
        <f t="shared" si="7"/>
        <v>7</v>
      </c>
    </row>
    <row r="112" spans="1:16">
      <c r="A112" s="79">
        <v>1111</v>
      </c>
      <c r="B112" s="80" t="s">
        <v>206</v>
      </c>
      <c r="C112" s="81" t="s">
        <v>21</v>
      </c>
      <c r="D112" s="81" t="s">
        <v>80</v>
      </c>
      <c r="E112" s="81" t="s">
        <v>30</v>
      </c>
      <c r="F112" s="81" t="s">
        <v>66</v>
      </c>
      <c r="G112" s="81" t="s">
        <v>199</v>
      </c>
      <c r="H112" s="82">
        <v>10</v>
      </c>
      <c r="I112" s="83">
        <v>635</v>
      </c>
      <c r="J112" s="84">
        <v>0.01</v>
      </c>
      <c r="K112" s="81" t="s">
        <v>33</v>
      </c>
      <c r="L112" s="81" t="s">
        <v>39</v>
      </c>
      <c r="M112" s="83">
        <f t="shared" si="4"/>
        <v>6350</v>
      </c>
      <c r="N112" s="83">
        <f t="shared" si="5"/>
        <v>63.5</v>
      </c>
      <c r="O112" s="83">
        <f t="shared" si="6"/>
        <v>6286.5</v>
      </c>
      <c r="P112">
        <f t="shared" si="7"/>
        <v>12</v>
      </c>
    </row>
    <row r="113" spans="1:16">
      <c r="A113" s="73">
        <v>1112</v>
      </c>
      <c r="B113" s="74" t="s">
        <v>207</v>
      </c>
      <c r="C113" s="75" t="s">
        <v>28</v>
      </c>
      <c r="D113" s="75" t="s">
        <v>29</v>
      </c>
      <c r="E113" s="75" t="s">
        <v>23</v>
      </c>
      <c r="F113" s="75" t="s">
        <v>37</v>
      </c>
      <c r="G113" s="75" t="s">
        <v>38</v>
      </c>
      <c r="H113" s="76">
        <v>8</v>
      </c>
      <c r="I113" s="77">
        <v>20858</v>
      </c>
      <c r="J113" s="78">
        <v>0.03</v>
      </c>
      <c r="K113" s="75" t="s">
        <v>18</v>
      </c>
      <c r="L113" s="75" t="s">
        <v>26</v>
      </c>
      <c r="M113" s="77">
        <f t="shared" si="4"/>
        <v>166864</v>
      </c>
      <c r="N113" s="77">
        <f t="shared" si="5"/>
        <v>5005.92</v>
      </c>
      <c r="O113" s="77">
        <f t="shared" si="6"/>
        <v>161858.07999999999</v>
      </c>
      <c r="P113">
        <f t="shared" si="7"/>
        <v>9</v>
      </c>
    </row>
    <row r="114" spans="1:16">
      <c r="A114" s="79">
        <v>1113</v>
      </c>
      <c r="B114" s="80" t="s">
        <v>208</v>
      </c>
      <c r="C114" s="81" t="s">
        <v>28</v>
      </c>
      <c r="D114" s="81" t="s">
        <v>46</v>
      </c>
      <c r="E114" s="81" t="s">
        <v>15</v>
      </c>
      <c r="F114" s="81" t="s">
        <v>85</v>
      </c>
      <c r="G114" s="81" t="s">
        <v>151</v>
      </c>
      <c r="H114" s="82">
        <v>5</v>
      </c>
      <c r="I114" s="83">
        <v>34695</v>
      </c>
      <c r="J114" s="84">
        <v>0.08</v>
      </c>
      <c r="K114" s="81" t="s">
        <v>33</v>
      </c>
      <c r="L114" s="81" t="s">
        <v>103</v>
      </c>
      <c r="M114" s="83">
        <f t="shared" si="4"/>
        <v>173475</v>
      </c>
      <c r="N114" s="83">
        <f t="shared" si="5"/>
        <v>13878</v>
      </c>
      <c r="O114" s="83">
        <f t="shared" si="6"/>
        <v>159597</v>
      </c>
      <c r="P114">
        <f t="shared" si="7"/>
        <v>9</v>
      </c>
    </row>
    <row r="115" spans="1:16">
      <c r="A115" s="73">
        <v>1114</v>
      </c>
      <c r="B115" s="74" t="s">
        <v>113</v>
      </c>
      <c r="C115" s="75" t="s">
        <v>69</v>
      </c>
      <c r="D115" s="75" t="s">
        <v>75</v>
      </c>
      <c r="E115" s="75" t="s">
        <v>15</v>
      </c>
      <c r="F115" s="75" t="s">
        <v>50</v>
      </c>
      <c r="G115" s="75" t="s">
        <v>51</v>
      </c>
      <c r="H115" s="76">
        <v>2</v>
      </c>
      <c r="I115" s="77">
        <v>37272</v>
      </c>
      <c r="J115" s="78">
        <v>0.15</v>
      </c>
      <c r="K115" s="75" t="s">
        <v>33</v>
      </c>
      <c r="L115" s="75" t="s">
        <v>103</v>
      </c>
      <c r="M115" s="77">
        <f t="shared" si="4"/>
        <v>74544</v>
      </c>
      <c r="N115" s="77">
        <f t="shared" si="5"/>
        <v>11181.6</v>
      </c>
      <c r="O115" s="77">
        <f t="shared" si="6"/>
        <v>63362.400000000001</v>
      </c>
      <c r="P115">
        <f t="shared" si="7"/>
        <v>2</v>
      </c>
    </row>
    <row r="116" spans="1:16">
      <c r="A116" s="79">
        <v>1115</v>
      </c>
      <c r="B116" s="80" t="s">
        <v>209</v>
      </c>
      <c r="C116" s="81" t="s">
        <v>69</v>
      </c>
      <c r="D116" s="81" t="s">
        <v>111</v>
      </c>
      <c r="E116" s="81" t="s">
        <v>41</v>
      </c>
      <c r="F116" s="81" t="s">
        <v>47</v>
      </c>
      <c r="G116" s="81" t="s">
        <v>129</v>
      </c>
      <c r="H116" s="82">
        <v>2</v>
      </c>
      <c r="I116" s="83">
        <v>33825</v>
      </c>
      <c r="J116" s="84">
        <v>0.13</v>
      </c>
      <c r="K116" s="81" t="s">
        <v>33</v>
      </c>
      <c r="L116" s="81" t="s">
        <v>26</v>
      </c>
      <c r="M116" s="83">
        <f t="shared" si="4"/>
        <v>67650</v>
      </c>
      <c r="N116" s="83">
        <f t="shared" si="5"/>
        <v>8794.5</v>
      </c>
      <c r="O116" s="83">
        <f t="shared" si="6"/>
        <v>58855.5</v>
      </c>
      <c r="P116">
        <f t="shared" si="7"/>
        <v>12</v>
      </c>
    </row>
    <row r="117" spans="1:16">
      <c r="A117" s="73">
        <v>1116</v>
      </c>
      <c r="B117" s="74" t="s">
        <v>210</v>
      </c>
      <c r="C117" s="75" t="s">
        <v>69</v>
      </c>
      <c r="D117" s="75" t="s">
        <v>72</v>
      </c>
      <c r="E117" s="75" t="s">
        <v>15</v>
      </c>
      <c r="F117" s="75" t="s">
        <v>16</v>
      </c>
      <c r="G117" s="75" t="s">
        <v>127</v>
      </c>
      <c r="H117" s="76">
        <v>4</v>
      </c>
      <c r="I117" s="77">
        <v>44357</v>
      </c>
      <c r="J117" s="78">
        <v>0.04</v>
      </c>
      <c r="K117" s="75" t="s">
        <v>18</v>
      </c>
      <c r="L117" s="75" t="s">
        <v>39</v>
      </c>
      <c r="M117" s="77">
        <f t="shared" si="4"/>
        <v>177428</v>
      </c>
      <c r="N117" s="77">
        <f t="shared" si="5"/>
        <v>7097.12</v>
      </c>
      <c r="O117" s="77">
        <f t="shared" si="6"/>
        <v>170330.88</v>
      </c>
      <c r="P117">
        <f t="shared" si="7"/>
        <v>7</v>
      </c>
    </row>
    <row r="118" spans="1:16">
      <c r="A118" s="79">
        <v>1117</v>
      </c>
      <c r="B118" s="80" t="s">
        <v>74</v>
      </c>
      <c r="C118" s="81" t="s">
        <v>13</v>
      </c>
      <c r="D118" s="81" t="s">
        <v>82</v>
      </c>
      <c r="E118" s="81" t="s">
        <v>23</v>
      </c>
      <c r="F118" s="81" t="s">
        <v>24</v>
      </c>
      <c r="G118" s="81" t="s">
        <v>94</v>
      </c>
      <c r="H118" s="82">
        <v>2</v>
      </c>
      <c r="I118" s="83">
        <v>47689</v>
      </c>
      <c r="J118" s="84">
        <v>0.08</v>
      </c>
      <c r="K118" s="81" t="s">
        <v>33</v>
      </c>
      <c r="L118" s="81" t="s">
        <v>34</v>
      </c>
      <c r="M118" s="83">
        <f t="shared" si="4"/>
        <v>95378</v>
      </c>
      <c r="N118" s="83">
        <f t="shared" si="5"/>
        <v>7630.24</v>
      </c>
      <c r="O118" s="83">
        <f t="shared" si="6"/>
        <v>87747.76</v>
      </c>
      <c r="P118">
        <f t="shared" si="7"/>
        <v>7</v>
      </c>
    </row>
    <row r="119" spans="1:16">
      <c r="A119" s="73">
        <v>1118</v>
      </c>
      <c r="B119" s="74" t="s">
        <v>211</v>
      </c>
      <c r="C119" s="75" t="s">
        <v>21</v>
      </c>
      <c r="D119" s="75" t="s">
        <v>22</v>
      </c>
      <c r="E119" s="75" t="s">
        <v>41</v>
      </c>
      <c r="F119" s="75" t="s">
        <v>42</v>
      </c>
      <c r="G119" s="75" t="s">
        <v>43</v>
      </c>
      <c r="H119" s="76">
        <v>4</v>
      </c>
      <c r="I119" s="77">
        <v>29509</v>
      </c>
      <c r="J119" s="78">
        <v>0.1</v>
      </c>
      <c r="K119" s="75" t="s">
        <v>18</v>
      </c>
      <c r="L119" s="75" t="s">
        <v>19</v>
      </c>
      <c r="M119" s="77">
        <f t="shared" si="4"/>
        <v>118036</v>
      </c>
      <c r="N119" s="77">
        <f t="shared" si="5"/>
        <v>11803.6</v>
      </c>
      <c r="O119" s="77">
        <f t="shared" si="6"/>
        <v>106232.4</v>
      </c>
      <c r="P119">
        <f t="shared" si="7"/>
        <v>6</v>
      </c>
    </row>
    <row r="120" spans="1:16">
      <c r="A120" s="79">
        <v>1119</v>
      </c>
      <c r="B120" s="80" t="s">
        <v>212</v>
      </c>
      <c r="C120" s="81" t="s">
        <v>13</v>
      </c>
      <c r="D120" s="81" t="s">
        <v>14</v>
      </c>
      <c r="E120" s="81" t="s">
        <v>15</v>
      </c>
      <c r="F120" s="81" t="s">
        <v>85</v>
      </c>
      <c r="G120" s="81" t="s">
        <v>151</v>
      </c>
      <c r="H120" s="82">
        <v>1</v>
      </c>
      <c r="I120" s="83">
        <v>9756</v>
      </c>
      <c r="J120" s="84">
        <v>0.11</v>
      </c>
      <c r="K120" s="81" t="s">
        <v>33</v>
      </c>
      <c r="L120" s="81" t="s">
        <v>44</v>
      </c>
      <c r="M120" s="83">
        <f t="shared" si="4"/>
        <v>9756</v>
      </c>
      <c r="N120" s="83">
        <f t="shared" si="5"/>
        <v>1073.1600000000001</v>
      </c>
      <c r="O120" s="83">
        <f t="shared" si="6"/>
        <v>8682.84</v>
      </c>
      <c r="P120">
        <f t="shared" si="7"/>
        <v>2</v>
      </c>
    </row>
    <row r="121" spans="1:16">
      <c r="A121" s="73">
        <v>1120</v>
      </c>
      <c r="B121" s="74" t="s">
        <v>188</v>
      </c>
      <c r="C121" s="75" t="s">
        <v>21</v>
      </c>
      <c r="D121" s="75" t="s">
        <v>60</v>
      </c>
      <c r="E121" s="75" t="s">
        <v>30</v>
      </c>
      <c r="F121" s="75" t="s">
        <v>66</v>
      </c>
      <c r="G121" s="75" t="s">
        <v>67</v>
      </c>
      <c r="H121" s="76">
        <v>10</v>
      </c>
      <c r="I121" s="77">
        <v>36997</v>
      </c>
      <c r="J121" s="78">
        <v>0.05</v>
      </c>
      <c r="K121" s="75" t="s">
        <v>33</v>
      </c>
      <c r="L121" s="75" t="s">
        <v>63</v>
      </c>
      <c r="M121" s="77">
        <f t="shared" si="4"/>
        <v>369970</v>
      </c>
      <c r="N121" s="77">
        <f t="shared" si="5"/>
        <v>18498.5</v>
      </c>
      <c r="O121" s="77">
        <f t="shared" si="6"/>
        <v>351471.5</v>
      </c>
      <c r="P121">
        <f t="shared" si="7"/>
        <v>2</v>
      </c>
    </row>
    <row r="122" spans="1:16">
      <c r="A122" s="79">
        <v>1121</v>
      </c>
      <c r="B122" s="80" t="s">
        <v>213</v>
      </c>
      <c r="C122" s="81" t="s">
        <v>21</v>
      </c>
      <c r="D122" s="81" t="s">
        <v>60</v>
      </c>
      <c r="E122" s="81" t="s">
        <v>15</v>
      </c>
      <c r="F122" s="81" t="s">
        <v>50</v>
      </c>
      <c r="G122" s="81" t="s">
        <v>120</v>
      </c>
      <c r="H122" s="82">
        <v>8</v>
      </c>
      <c r="I122" s="83">
        <v>38256</v>
      </c>
      <c r="J122" s="84">
        <v>0.15</v>
      </c>
      <c r="K122" s="81" t="s">
        <v>18</v>
      </c>
      <c r="L122" s="81" t="s">
        <v>44</v>
      </c>
      <c r="M122" s="83">
        <f t="shared" si="4"/>
        <v>306048</v>
      </c>
      <c r="N122" s="83">
        <f t="shared" si="5"/>
        <v>45907.199999999997</v>
      </c>
      <c r="O122" s="83">
        <f t="shared" si="6"/>
        <v>260140.79999999999</v>
      </c>
      <c r="P122">
        <f t="shared" si="7"/>
        <v>6</v>
      </c>
    </row>
    <row r="123" spans="1:16">
      <c r="A123" s="73">
        <v>1122</v>
      </c>
      <c r="B123" s="74" t="s">
        <v>214</v>
      </c>
      <c r="C123" s="75" t="s">
        <v>13</v>
      </c>
      <c r="D123" s="75" t="s">
        <v>93</v>
      </c>
      <c r="E123" s="75" t="s">
        <v>30</v>
      </c>
      <c r="F123" s="75" t="s">
        <v>31</v>
      </c>
      <c r="G123" s="75" t="s">
        <v>88</v>
      </c>
      <c r="H123" s="76">
        <v>2</v>
      </c>
      <c r="I123" s="77">
        <v>13301</v>
      </c>
      <c r="J123" s="78">
        <v>0.06</v>
      </c>
      <c r="K123" s="75" t="s">
        <v>18</v>
      </c>
      <c r="L123" s="75" t="s">
        <v>26</v>
      </c>
      <c r="M123" s="77">
        <f t="shared" si="4"/>
        <v>26602</v>
      </c>
      <c r="N123" s="77">
        <f t="shared" si="5"/>
        <v>1596.12</v>
      </c>
      <c r="O123" s="77">
        <f t="shared" si="6"/>
        <v>25005.88</v>
      </c>
      <c r="P123">
        <f t="shared" si="7"/>
        <v>10</v>
      </c>
    </row>
    <row r="124" spans="1:16">
      <c r="A124" s="79">
        <v>1123</v>
      </c>
      <c r="B124" s="80" t="s">
        <v>215</v>
      </c>
      <c r="C124" s="81" t="s">
        <v>21</v>
      </c>
      <c r="D124" s="81" t="s">
        <v>22</v>
      </c>
      <c r="E124" s="81" t="s">
        <v>23</v>
      </c>
      <c r="F124" s="81" t="s">
        <v>24</v>
      </c>
      <c r="G124" s="81" t="s">
        <v>94</v>
      </c>
      <c r="H124" s="82">
        <v>4</v>
      </c>
      <c r="I124" s="83">
        <v>33262</v>
      </c>
      <c r="J124" s="84">
        <v>0.01</v>
      </c>
      <c r="K124" s="81" t="s">
        <v>33</v>
      </c>
      <c r="L124" s="81" t="s">
        <v>103</v>
      </c>
      <c r="M124" s="83">
        <f t="shared" si="4"/>
        <v>133048</v>
      </c>
      <c r="N124" s="83">
        <f t="shared" si="5"/>
        <v>1330.48</v>
      </c>
      <c r="O124" s="83">
        <f t="shared" si="6"/>
        <v>131717.51999999999</v>
      </c>
      <c r="P124">
        <f t="shared" si="7"/>
        <v>9</v>
      </c>
    </row>
    <row r="125" spans="1:16">
      <c r="A125" s="73">
        <v>1124</v>
      </c>
      <c r="B125" s="74" t="s">
        <v>102</v>
      </c>
      <c r="C125" s="75" t="s">
        <v>69</v>
      </c>
      <c r="D125" s="75" t="s">
        <v>111</v>
      </c>
      <c r="E125" s="75" t="s">
        <v>30</v>
      </c>
      <c r="F125" s="75" t="s">
        <v>66</v>
      </c>
      <c r="G125" s="75" t="s">
        <v>199</v>
      </c>
      <c r="H125" s="76">
        <v>5</v>
      </c>
      <c r="I125" s="77">
        <v>33264</v>
      </c>
      <c r="J125" s="78">
        <v>0.14000000000000001</v>
      </c>
      <c r="K125" s="75" t="s">
        <v>33</v>
      </c>
      <c r="L125" s="75" t="s">
        <v>44</v>
      </c>
      <c r="M125" s="77">
        <f t="shared" si="4"/>
        <v>166320</v>
      </c>
      <c r="N125" s="77">
        <f t="shared" si="5"/>
        <v>23284.800000000003</v>
      </c>
      <c r="O125" s="77">
        <f t="shared" si="6"/>
        <v>143035.20000000001</v>
      </c>
      <c r="P125">
        <f t="shared" si="7"/>
        <v>9</v>
      </c>
    </row>
    <row r="126" spans="1:16">
      <c r="A126" s="79">
        <v>1125</v>
      </c>
      <c r="B126" s="80" t="s">
        <v>216</v>
      </c>
      <c r="C126" s="81" t="s">
        <v>69</v>
      </c>
      <c r="D126" s="81" t="s">
        <v>70</v>
      </c>
      <c r="E126" s="81" t="s">
        <v>41</v>
      </c>
      <c r="F126" s="81" t="s">
        <v>42</v>
      </c>
      <c r="G126" s="81" t="s">
        <v>90</v>
      </c>
      <c r="H126" s="82">
        <v>6</v>
      </c>
      <c r="I126" s="83">
        <v>15918</v>
      </c>
      <c r="J126" s="84">
        <v>0.1</v>
      </c>
      <c r="K126" s="81" t="s">
        <v>33</v>
      </c>
      <c r="L126" s="81" t="s">
        <v>26</v>
      </c>
      <c r="M126" s="83">
        <f t="shared" si="4"/>
        <v>95508</v>
      </c>
      <c r="N126" s="83">
        <f t="shared" si="5"/>
        <v>9550.8000000000011</v>
      </c>
      <c r="O126" s="83">
        <f t="shared" si="6"/>
        <v>85957.2</v>
      </c>
      <c r="P126">
        <f t="shared" si="7"/>
        <v>9</v>
      </c>
    </row>
    <row r="127" spans="1:16">
      <c r="A127" s="73">
        <v>1126</v>
      </c>
      <c r="B127" s="74" t="s">
        <v>35</v>
      </c>
      <c r="C127" s="75" t="s">
        <v>13</v>
      </c>
      <c r="D127" s="75" t="s">
        <v>141</v>
      </c>
      <c r="E127" s="75" t="s">
        <v>15</v>
      </c>
      <c r="F127" s="75" t="s">
        <v>16</v>
      </c>
      <c r="G127" s="75" t="s">
        <v>127</v>
      </c>
      <c r="H127" s="76">
        <v>10</v>
      </c>
      <c r="I127" s="77">
        <v>27819</v>
      </c>
      <c r="J127" s="78">
        <v>0.18</v>
      </c>
      <c r="K127" s="75" t="s">
        <v>33</v>
      </c>
      <c r="L127" s="75" t="s">
        <v>26</v>
      </c>
      <c r="M127" s="77">
        <f t="shared" si="4"/>
        <v>278190</v>
      </c>
      <c r="N127" s="77">
        <f t="shared" si="5"/>
        <v>50074.2</v>
      </c>
      <c r="O127" s="77">
        <f t="shared" si="6"/>
        <v>228115.8</v>
      </c>
      <c r="P127">
        <f t="shared" si="7"/>
        <v>8</v>
      </c>
    </row>
    <row r="128" spans="1:16">
      <c r="A128" s="79">
        <v>1127</v>
      </c>
      <c r="B128" s="80" t="s">
        <v>217</v>
      </c>
      <c r="C128" s="81" t="s">
        <v>21</v>
      </c>
      <c r="D128" s="81" t="s">
        <v>22</v>
      </c>
      <c r="E128" s="81" t="s">
        <v>30</v>
      </c>
      <c r="F128" s="81" t="s">
        <v>61</v>
      </c>
      <c r="G128" s="81" t="s">
        <v>153</v>
      </c>
      <c r="H128" s="82">
        <v>6</v>
      </c>
      <c r="I128" s="83">
        <v>37811</v>
      </c>
      <c r="J128" s="84">
        <v>0.09</v>
      </c>
      <c r="K128" s="81" t="s">
        <v>33</v>
      </c>
      <c r="L128" s="81" t="s">
        <v>19</v>
      </c>
      <c r="M128" s="83">
        <f t="shared" si="4"/>
        <v>226866</v>
      </c>
      <c r="N128" s="83">
        <f t="shared" si="5"/>
        <v>20417.939999999999</v>
      </c>
      <c r="O128" s="83">
        <f t="shared" si="6"/>
        <v>206448.06</v>
      </c>
      <c r="P128">
        <f t="shared" si="7"/>
        <v>5</v>
      </c>
    </row>
    <row r="129" spans="1:16">
      <c r="A129" s="73">
        <v>1128</v>
      </c>
      <c r="B129" s="74" t="s">
        <v>218</v>
      </c>
      <c r="C129" s="75" t="s">
        <v>69</v>
      </c>
      <c r="D129" s="75" t="s">
        <v>70</v>
      </c>
      <c r="E129" s="75" t="s">
        <v>15</v>
      </c>
      <c r="F129" s="75" t="s">
        <v>100</v>
      </c>
      <c r="G129" s="75" t="s">
        <v>219</v>
      </c>
      <c r="H129" s="76">
        <v>9</v>
      </c>
      <c r="I129" s="77">
        <v>4856</v>
      </c>
      <c r="J129" s="78">
        <v>0.03</v>
      </c>
      <c r="K129" s="75" t="s">
        <v>18</v>
      </c>
      <c r="L129" s="75" t="s">
        <v>103</v>
      </c>
      <c r="M129" s="77">
        <f t="shared" si="4"/>
        <v>43704</v>
      </c>
      <c r="N129" s="77">
        <f t="shared" si="5"/>
        <v>1311.12</v>
      </c>
      <c r="O129" s="77">
        <f t="shared" si="6"/>
        <v>42392.88</v>
      </c>
      <c r="P129">
        <f t="shared" si="7"/>
        <v>10</v>
      </c>
    </row>
    <row r="130" spans="1:16">
      <c r="A130" s="79">
        <v>1129</v>
      </c>
      <c r="B130" s="80" t="s">
        <v>220</v>
      </c>
      <c r="C130" s="81" t="s">
        <v>21</v>
      </c>
      <c r="D130" s="81" t="s">
        <v>22</v>
      </c>
      <c r="E130" s="81" t="s">
        <v>23</v>
      </c>
      <c r="F130" s="81" t="s">
        <v>37</v>
      </c>
      <c r="G130" s="81" t="s">
        <v>221</v>
      </c>
      <c r="H130" s="82">
        <v>7</v>
      </c>
      <c r="I130" s="83">
        <v>35218</v>
      </c>
      <c r="J130" s="84">
        <v>0.05</v>
      </c>
      <c r="K130" s="81" t="s">
        <v>33</v>
      </c>
      <c r="L130" s="81" t="s">
        <v>26</v>
      </c>
      <c r="M130" s="83">
        <f t="shared" si="4"/>
        <v>246526</v>
      </c>
      <c r="N130" s="83">
        <f t="shared" si="5"/>
        <v>12326.300000000001</v>
      </c>
      <c r="O130" s="83">
        <f t="shared" si="6"/>
        <v>234199.7</v>
      </c>
      <c r="P130">
        <f t="shared" si="7"/>
        <v>9</v>
      </c>
    </row>
    <row r="131" spans="1:16">
      <c r="A131" s="73">
        <v>1130</v>
      </c>
      <c r="B131" s="74" t="s">
        <v>222</v>
      </c>
      <c r="C131" s="75" t="s">
        <v>21</v>
      </c>
      <c r="D131" s="75" t="s">
        <v>60</v>
      </c>
      <c r="E131" s="75" t="s">
        <v>23</v>
      </c>
      <c r="F131" s="75" t="s">
        <v>131</v>
      </c>
      <c r="G131" s="75" t="s">
        <v>223</v>
      </c>
      <c r="H131" s="76">
        <v>5</v>
      </c>
      <c r="I131" s="77">
        <v>26481</v>
      </c>
      <c r="J131" s="78">
        <v>0.08</v>
      </c>
      <c r="K131" s="75" t="s">
        <v>18</v>
      </c>
      <c r="L131" s="75" t="s">
        <v>73</v>
      </c>
      <c r="M131" s="77">
        <f t="shared" ref="M131:M194" si="8">H131*I131</f>
        <v>132405</v>
      </c>
      <c r="N131" s="77">
        <f t="shared" ref="N131:N194" si="9">M131*J131</f>
        <v>10592.4</v>
      </c>
      <c r="O131" s="77">
        <f t="shared" ref="O131:O194" si="10">M131-N131</f>
        <v>121812.6</v>
      </c>
      <c r="P131">
        <f t="shared" ref="P131:P194" si="11">MONTH(B131)</f>
        <v>3</v>
      </c>
    </row>
    <row r="132" spans="1:16">
      <c r="A132" s="79">
        <v>1131</v>
      </c>
      <c r="B132" s="80" t="s">
        <v>224</v>
      </c>
      <c r="C132" s="81" t="s">
        <v>21</v>
      </c>
      <c r="D132" s="81" t="s">
        <v>60</v>
      </c>
      <c r="E132" s="81" t="s">
        <v>23</v>
      </c>
      <c r="F132" s="81" t="s">
        <v>24</v>
      </c>
      <c r="G132" s="81" t="s">
        <v>98</v>
      </c>
      <c r="H132" s="82">
        <v>10</v>
      </c>
      <c r="I132" s="83">
        <v>1790</v>
      </c>
      <c r="J132" s="84">
        <v>0.02</v>
      </c>
      <c r="K132" s="81" t="s">
        <v>33</v>
      </c>
      <c r="L132" s="81" t="s">
        <v>73</v>
      </c>
      <c r="M132" s="83">
        <f t="shared" si="8"/>
        <v>17900</v>
      </c>
      <c r="N132" s="83">
        <f t="shared" si="9"/>
        <v>358</v>
      </c>
      <c r="O132" s="83">
        <f t="shared" si="10"/>
        <v>17542</v>
      </c>
      <c r="P132">
        <f t="shared" si="11"/>
        <v>10</v>
      </c>
    </row>
    <row r="133" spans="1:16">
      <c r="A133" s="73">
        <v>1132</v>
      </c>
      <c r="B133" s="74" t="s">
        <v>211</v>
      </c>
      <c r="C133" s="75" t="s">
        <v>28</v>
      </c>
      <c r="D133" s="75" t="s">
        <v>36</v>
      </c>
      <c r="E133" s="75" t="s">
        <v>15</v>
      </c>
      <c r="F133" s="75" t="s">
        <v>100</v>
      </c>
      <c r="G133" s="75" t="s">
        <v>219</v>
      </c>
      <c r="H133" s="76">
        <v>8</v>
      </c>
      <c r="I133" s="77">
        <v>16223</v>
      </c>
      <c r="J133" s="78">
        <v>0.2</v>
      </c>
      <c r="K133" s="75" t="s">
        <v>18</v>
      </c>
      <c r="L133" s="75" t="s">
        <v>103</v>
      </c>
      <c r="M133" s="77">
        <f t="shared" si="8"/>
        <v>129784</v>
      </c>
      <c r="N133" s="77">
        <f t="shared" si="9"/>
        <v>25956.800000000003</v>
      </c>
      <c r="O133" s="77">
        <f t="shared" si="10"/>
        <v>103827.2</v>
      </c>
      <c r="P133">
        <f t="shared" si="11"/>
        <v>6</v>
      </c>
    </row>
    <row r="134" spans="1:16">
      <c r="A134" s="79">
        <v>1133</v>
      </c>
      <c r="B134" s="80" t="s">
        <v>133</v>
      </c>
      <c r="C134" s="81" t="s">
        <v>13</v>
      </c>
      <c r="D134" s="81" t="s">
        <v>14</v>
      </c>
      <c r="E134" s="81" t="s">
        <v>41</v>
      </c>
      <c r="F134" s="81" t="s">
        <v>47</v>
      </c>
      <c r="G134" s="81" t="s">
        <v>48</v>
      </c>
      <c r="H134" s="82">
        <v>4</v>
      </c>
      <c r="I134" s="83">
        <v>30803</v>
      </c>
      <c r="J134" s="84">
        <v>0.13</v>
      </c>
      <c r="K134" s="81" t="s">
        <v>18</v>
      </c>
      <c r="L134" s="81" t="s">
        <v>39</v>
      </c>
      <c r="M134" s="83">
        <f t="shared" si="8"/>
        <v>123212</v>
      </c>
      <c r="N134" s="83">
        <f t="shared" si="9"/>
        <v>16017.560000000001</v>
      </c>
      <c r="O134" s="83">
        <f t="shared" si="10"/>
        <v>107194.44</v>
      </c>
      <c r="P134">
        <f t="shared" si="11"/>
        <v>5</v>
      </c>
    </row>
    <row r="135" spans="1:16">
      <c r="A135" s="73">
        <v>1134</v>
      </c>
      <c r="B135" s="74" t="s">
        <v>206</v>
      </c>
      <c r="C135" s="75" t="s">
        <v>13</v>
      </c>
      <c r="D135" s="75" t="s">
        <v>141</v>
      </c>
      <c r="E135" s="75" t="s">
        <v>30</v>
      </c>
      <c r="F135" s="75" t="s">
        <v>61</v>
      </c>
      <c r="G135" s="75" t="s">
        <v>163</v>
      </c>
      <c r="H135" s="76">
        <v>2</v>
      </c>
      <c r="I135" s="77">
        <v>28038</v>
      </c>
      <c r="J135" s="78">
        <v>0.04</v>
      </c>
      <c r="K135" s="75" t="s">
        <v>33</v>
      </c>
      <c r="L135" s="75" t="s">
        <v>103</v>
      </c>
      <c r="M135" s="77">
        <f t="shared" si="8"/>
        <v>56076</v>
      </c>
      <c r="N135" s="77">
        <f t="shared" si="9"/>
        <v>2243.04</v>
      </c>
      <c r="O135" s="77">
        <f t="shared" si="10"/>
        <v>53832.959999999999</v>
      </c>
      <c r="P135">
        <f t="shared" si="11"/>
        <v>12</v>
      </c>
    </row>
    <row r="136" spans="1:16">
      <c r="A136" s="79">
        <v>1135</v>
      </c>
      <c r="B136" s="80" t="s">
        <v>225</v>
      </c>
      <c r="C136" s="81" t="s">
        <v>13</v>
      </c>
      <c r="D136" s="81" t="s">
        <v>141</v>
      </c>
      <c r="E136" s="81" t="s">
        <v>30</v>
      </c>
      <c r="F136" s="81" t="s">
        <v>55</v>
      </c>
      <c r="G136" s="81" t="s">
        <v>150</v>
      </c>
      <c r="H136" s="82">
        <v>7</v>
      </c>
      <c r="I136" s="83">
        <v>27126</v>
      </c>
      <c r="J136" s="84">
        <v>0.16</v>
      </c>
      <c r="K136" s="81" t="s">
        <v>18</v>
      </c>
      <c r="L136" s="81" t="s">
        <v>63</v>
      </c>
      <c r="M136" s="83">
        <f t="shared" si="8"/>
        <v>189882</v>
      </c>
      <c r="N136" s="83">
        <f t="shared" si="9"/>
        <v>30381.119999999999</v>
      </c>
      <c r="O136" s="83">
        <f t="shared" si="10"/>
        <v>159500.88</v>
      </c>
      <c r="P136">
        <f t="shared" si="11"/>
        <v>1</v>
      </c>
    </row>
    <row r="137" spans="1:16">
      <c r="A137" s="73">
        <v>1136</v>
      </c>
      <c r="B137" s="74" t="s">
        <v>222</v>
      </c>
      <c r="C137" s="75" t="s">
        <v>21</v>
      </c>
      <c r="D137" s="75" t="s">
        <v>80</v>
      </c>
      <c r="E137" s="75" t="s">
        <v>23</v>
      </c>
      <c r="F137" s="75" t="s">
        <v>37</v>
      </c>
      <c r="G137" s="75" t="s">
        <v>38</v>
      </c>
      <c r="H137" s="76">
        <v>1</v>
      </c>
      <c r="I137" s="77">
        <v>34167</v>
      </c>
      <c r="J137" s="78">
        <v>0.14000000000000001</v>
      </c>
      <c r="K137" s="75" t="s">
        <v>33</v>
      </c>
      <c r="L137" s="75" t="s">
        <v>34</v>
      </c>
      <c r="M137" s="77">
        <f t="shared" si="8"/>
        <v>34167</v>
      </c>
      <c r="N137" s="77">
        <f t="shared" si="9"/>
        <v>4783.38</v>
      </c>
      <c r="O137" s="77">
        <f t="shared" si="10"/>
        <v>29383.62</v>
      </c>
      <c r="P137">
        <f t="shared" si="11"/>
        <v>3</v>
      </c>
    </row>
    <row r="138" spans="1:16">
      <c r="A138" s="79">
        <v>1137</v>
      </c>
      <c r="B138" s="80" t="s">
        <v>117</v>
      </c>
      <c r="C138" s="81" t="s">
        <v>69</v>
      </c>
      <c r="D138" s="81" t="s">
        <v>70</v>
      </c>
      <c r="E138" s="81" t="s">
        <v>15</v>
      </c>
      <c r="F138" s="81" t="s">
        <v>16</v>
      </c>
      <c r="G138" s="81" t="s">
        <v>53</v>
      </c>
      <c r="H138" s="82">
        <v>9</v>
      </c>
      <c r="I138" s="83">
        <v>17362</v>
      </c>
      <c r="J138" s="84">
        <v>0.13</v>
      </c>
      <c r="K138" s="81" t="s">
        <v>18</v>
      </c>
      <c r="L138" s="81" t="s">
        <v>19</v>
      </c>
      <c r="M138" s="83">
        <f t="shared" si="8"/>
        <v>156258</v>
      </c>
      <c r="N138" s="83">
        <f t="shared" si="9"/>
        <v>20313.54</v>
      </c>
      <c r="O138" s="83">
        <f t="shared" si="10"/>
        <v>135944.46</v>
      </c>
      <c r="P138">
        <f t="shared" si="11"/>
        <v>5</v>
      </c>
    </row>
    <row r="139" spans="1:16">
      <c r="A139" s="73">
        <v>1138</v>
      </c>
      <c r="B139" s="74" t="s">
        <v>49</v>
      </c>
      <c r="C139" s="75" t="s">
        <v>69</v>
      </c>
      <c r="D139" s="75" t="s">
        <v>111</v>
      </c>
      <c r="E139" s="75" t="s">
        <v>23</v>
      </c>
      <c r="F139" s="75" t="s">
        <v>155</v>
      </c>
      <c r="G139" s="75" t="s">
        <v>156</v>
      </c>
      <c r="H139" s="76">
        <v>5</v>
      </c>
      <c r="I139" s="77">
        <v>29948</v>
      </c>
      <c r="J139" s="78">
        <v>0.14000000000000001</v>
      </c>
      <c r="K139" s="75" t="s">
        <v>33</v>
      </c>
      <c r="L139" s="75" t="s">
        <v>26</v>
      </c>
      <c r="M139" s="77">
        <f t="shared" si="8"/>
        <v>149740</v>
      </c>
      <c r="N139" s="77">
        <f t="shared" si="9"/>
        <v>20963.600000000002</v>
      </c>
      <c r="O139" s="77">
        <f t="shared" si="10"/>
        <v>128776.4</v>
      </c>
      <c r="P139">
        <f t="shared" si="11"/>
        <v>7</v>
      </c>
    </row>
    <row r="140" spans="1:16">
      <c r="A140" s="79">
        <v>1139</v>
      </c>
      <c r="B140" s="80" t="s">
        <v>79</v>
      </c>
      <c r="C140" s="81" t="s">
        <v>21</v>
      </c>
      <c r="D140" s="81" t="s">
        <v>114</v>
      </c>
      <c r="E140" s="81" t="s">
        <v>41</v>
      </c>
      <c r="F140" s="81" t="s">
        <v>115</v>
      </c>
      <c r="G140" s="81" t="s">
        <v>180</v>
      </c>
      <c r="H140" s="82">
        <v>4</v>
      </c>
      <c r="I140" s="83">
        <v>36239</v>
      </c>
      <c r="J140" s="84">
        <v>0.16</v>
      </c>
      <c r="K140" s="81" t="s">
        <v>18</v>
      </c>
      <c r="L140" s="81" t="s">
        <v>44</v>
      </c>
      <c r="M140" s="83">
        <f t="shared" si="8"/>
        <v>144956</v>
      </c>
      <c r="N140" s="83">
        <f t="shared" si="9"/>
        <v>23192.959999999999</v>
      </c>
      <c r="O140" s="83">
        <f t="shared" si="10"/>
        <v>121763.04000000001</v>
      </c>
      <c r="P140">
        <f t="shared" si="11"/>
        <v>9</v>
      </c>
    </row>
    <row r="141" spans="1:16">
      <c r="A141" s="73">
        <v>1140</v>
      </c>
      <c r="B141" s="74" t="s">
        <v>186</v>
      </c>
      <c r="C141" s="75" t="s">
        <v>13</v>
      </c>
      <c r="D141" s="75" t="s">
        <v>82</v>
      </c>
      <c r="E141" s="75" t="s">
        <v>23</v>
      </c>
      <c r="F141" s="75" t="s">
        <v>24</v>
      </c>
      <c r="G141" s="75" t="s">
        <v>98</v>
      </c>
      <c r="H141" s="76">
        <v>10</v>
      </c>
      <c r="I141" s="77">
        <v>49292</v>
      </c>
      <c r="J141" s="78">
        <v>0.06</v>
      </c>
      <c r="K141" s="75" t="s">
        <v>18</v>
      </c>
      <c r="L141" s="75" t="s">
        <v>44</v>
      </c>
      <c r="M141" s="77">
        <f t="shared" si="8"/>
        <v>492920</v>
      </c>
      <c r="N141" s="77">
        <f t="shared" si="9"/>
        <v>29575.199999999997</v>
      </c>
      <c r="O141" s="77">
        <f t="shared" si="10"/>
        <v>463344.8</v>
      </c>
      <c r="P141">
        <f t="shared" si="11"/>
        <v>3</v>
      </c>
    </row>
    <row r="142" spans="1:16">
      <c r="A142" s="79">
        <v>1141</v>
      </c>
      <c r="B142" s="80" t="s">
        <v>226</v>
      </c>
      <c r="C142" s="81" t="s">
        <v>13</v>
      </c>
      <c r="D142" s="81" t="s">
        <v>93</v>
      </c>
      <c r="E142" s="81" t="s">
        <v>30</v>
      </c>
      <c r="F142" s="81" t="s">
        <v>55</v>
      </c>
      <c r="G142" s="81" t="s">
        <v>112</v>
      </c>
      <c r="H142" s="82">
        <v>1</v>
      </c>
      <c r="I142" s="83">
        <v>22773</v>
      </c>
      <c r="J142" s="84">
        <v>0.14000000000000001</v>
      </c>
      <c r="K142" s="81" t="s">
        <v>33</v>
      </c>
      <c r="L142" s="81" t="s">
        <v>63</v>
      </c>
      <c r="M142" s="83">
        <f t="shared" si="8"/>
        <v>22773</v>
      </c>
      <c r="N142" s="83">
        <f t="shared" si="9"/>
        <v>3188.2200000000003</v>
      </c>
      <c r="O142" s="83">
        <f t="shared" si="10"/>
        <v>19584.78</v>
      </c>
      <c r="P142">
        <f t="shared" si="11"/>
        <v>1</v>
      </c>
    </row>
    <row r="143" spans="1:16">
      <c r="A143" s="73">
        <v>1142</v>
      </c>
      <c r="B143" s="74" t="s">
        <v>227</v>
      </c>
      <c r="C143" s="75" t="s">
        <v>13</v>
      </c>
      <c r="D143" s="75" t="s">
        <v>82</v>
      </c>
      <c r="E143" s="75" t="s">
        <v>41</v>
      </c>
      <c r="F143" s="75" t="s">
        <v>76</v>
      </c>
      <c r="G143" s="75" t="s">
        <v>77</v>
      </c>
      <c r="H143" s="76">
        <v>3</v>
      </c>
      <c r="I143" s="77">
        <v>14188</v>
      </c>
      <c r="J143" s="78">
        <v>0.16</v>
      </c>
      <c r="K143" s="75" t="s">
        <v>18</v>
      </c>
      <c r="L143" s="75" t="s">
        <v>73</v>
      </c>
      <c r="M143" s="77">
        <f t="shared" si="8"/>
        <v>42564</v>
      </c>
      <c r="N143" s="77">
        <f t="shared" si="9"/>
        <v>6810.24</v>
      </c>
      <c r="O143" s="77">
        <f t="shared" si="10"/>
        <v>35753.760000000002</v>
      </c>
      <c r="P143">
        <f t="shared" si="11"/>
        <v>2</v>
      </c>
    </row>
    <row r="144" spans="1:16">
      <c r="A144" s="79">
        <v>1143</v>
      </c>
      <c r="B144" s="80" t="s">
        <v>187</v>
      </c>
      <c r="C144" s="81" t="s">
        <v>13</v>
      </c>
      <c r="D144" s="81" t="s">
        <v>93</v>
      </c>
      <c r="E144" s="81" t="s">
        <v>41</v>
      </c>
      <c r="F144" s="81" t="s">
        <v>115</v>
      </c>
      <c r="G144" s="81" t="s">
        <v>180</v>
      </c>
      <c r="H144" s="82">
        <v>10</v>
      </c>
      <c r="I144" s="83">
        <v>24549</v>
      </c>
      <c r="J144" s="84">
        <v>0.09</v>
      </c>
      <c r="K144" s="81" t="s">
        <v>18</v>
      </c>
      <c r="L144" s="81" t="s">
        <v>44</v>
      </c>
      <c r="M144" s="83">
        <f t="shared" si="8"/>
        <v>245490</v>
      </c>
      <c r="N144" s="83">
        <f t="shared" si="9"/>
        <v>22094.1</v>
      </c>
      <c r="O144" s="83">
        <f t="shared" si="10"/>
        <v>223395.9</v>
      </c>
      <c r="P144">
        <f t="shared" si="11"/>
        <v>10</v>
      </c>
    </row>
    <row r="145" spans="1:16">
      <c r="A145" s="73">
        <v>1144</v>
      </c>
      <c r="B145" s="74" t="s">
        <v>89</v>
      </c>
      <c r="C145" s="75" t="s">
        <v>69</v>
      </c>
      <c r="D145" s="75" t="s">
        <v>70</v>
      </c>
      <c r="E145" s="75" t="s">
        <v>15</v>
      </c>
      <c r="F145" s="75" t="s">
        <v>16</v>
      </c>
      <c r="G145" s="75" t="s">
        <v>127</v>
      </c>
      <c r="H145" s="76">
        <v>6</v>
      </c>
      <c r="I145" s="77">
        <v>10360</v>
      </c>
      <c r="J145" s="78">
        <v>0.15</v>
      </c>
      <c r="K145" s="75" t="s">
        <v>33</v>
      </c>
      <c r="L145" s="75" t="s">
        <v>34</v>
      </c>
      <c r="M145" s="77">
        <f t="shared" si="8"/>
        <v>62160</v>
      </c>
      <c r="N145" s="77">
        <f t="shared" si="9"/>
        <v>9324</v>
      </c>
      <c r="O145" s="77">
        <f t="shared" si="10"/>
        <v>52836</v>
      </c>
      <c r="P145">
        <f t="shared" si="11"/>
        <v>8</v>
      </c>
    </row>
    <row r="146" spans="1:16">
      <c r="A146" s="79">
        <v>1145</v>
      </c>
      <c r="B146" s="80" t="s">
        <v>175</v>
      </c>
      <c r="C146" s="81" t="s">
        <v>21</v>
      </c>
      <c r="D146" s="81" t="s">
        <v>114</v>
      </c>
      <c r="E146" s="81" t="s">
        <v>41</v>
      </c>
      <c r="F146" s="81" t="s">
        <v>76</v>
      </c>
      <c r="G146" s="81" t="s">
        <v>123</v>
      </c>
      <c r="H146" s="82">
        <v>4</v>
      </c>
      <c r="I146" s="83">
        <v>48200</v>
      </c>
      <c r="J146" s="84">
        <v>0.2</v>
      </c>
      <c r="K146" s="81" t="s">
        <v>18</v>
      </c>
      <c r="L146" s="81" t="s">
        <v>34</v>
      </c>
      <c r="M146" s="83">
        <f t="shared" si="8"/>
        <v>192800</v>
      </c>
      <c r="N146" s="83">
        <f t="shared" si="9"/>
        <v>38560</v>
      </c>
      <c r="O146" s="83">
        <f t="shared" si="10"/>
        <v>154240</v>
      </c>
      <c r="P146">
        <f t="shared" si="11"/>
        <v>7</v>
      </c>
    </row>
    <row r="147" spans="1:16">
      <c r="A147" s="73">
        <v>1146</v>
      </c>
      <c r="B147" s="74" t="s">
        <v>209</v>
      </c>
      <c r="C147" s="75" t="s">
        <v>69</v>
      </c>
      <c r="D147" s="75" t="s">
        <v>111</v>
      </c>
      <c r="E147" s="75" t="s">
        <v>15</v>
      </c>
      <c r="F147" s="75" t="s">
        <v>85</v>
      </c>
      <c r="G147" s="75" t="s">
        <v>118</v>
      </c>
      <c r="H147" s="76">
        <v>5</v>
      </c>
      <c r="I147" s="77">
        <v>10817</v>
      </c>
      <c r="J147" s="78">
        <v>0.03</v>
      </c>
      <c r="K147" s="75" t="s">
        <v>33</v>
      </c>
      <c r="L147" s="75" t="s">
        <v>44</v>
      </c>
      <c r="M147" s="77">
        <f t="shared" si="8"/>
        <v>54085</v>
      </c>
      <c r="N147" s="77">
        <f t="shared" si="9"/>
        <v>1622.55</v>
      </c>
      <c r="O147" s="77">
        <f t="shared" si="10"/>
        <v>52462.45</v>
      </c>
      <c r="P147">
        <f t="shared" si="11"/>
        <v>12</v>
      </c>
    </row>
    <row r="148" spans="1:16">
      <c r="A148" s="79">
        <v>1147</v>
      </c>
      <c r="B148" s="80" t="s">
        <v>217</v>
      </c>
      <c r="C148" s="81" t="s">
        <v>13</v>
      </c>
      <c r="D148" s="81" t="s">
        <v>82</v>
      </c>
      <c r="E148" s="81" t="s">
        <v>30</v>
      </c>
      <c r="F148" s="81" t="s">
        <v>31</v>
      </c>
      <c r="G148" s="81" t="s">
        <v>109</v>
      </c>
      <c r="H148" s="82">
        <v>1</v>
      </c>
      <c r="I148" s="83">
        <v>21980</v>
      </c>
      <c r="J148" s="84">
        <v>0.13</v>
      </c>
      <c r="K148" s="81" t="s">
        <v>18</v>
      </c>
      <c r="L148" s="81" t="s">
        <v>26</v>
      </c>
      <c r="M148" s="83">
        <f t="shared" si="8"/>
        <v>21980</v>
      </c>
      <c r="N148" s="83">
        <f t="shared" si="9"/>
        <v>2857.4</v>
      </c>
      <c r="O148" s="83">
        <f t="shared" si="10"/>
        <v>19122.599999999999</v>
      </c>
      <c r="P148">
        <f t="shared" si="11"/>
        <v>5</v>
      </c>
    </row>
    <row r="149" spans="1:16">
      <c r="A149" s="73">
        <v>1148</v>
      </c>
      <c r="B149" s="74" t="s">
        <v>228</v>
      </c>
      <c r="C149" s="75" t="s">
        <v>21</v>
      </c>
      <c r="D149" s="75" t="s">
        <v>60</v>
      </c>
      <c r="E149" s="75" t="s">
        <v>30</v>
      </c>
      <c r="F149" s="75" t="s">
        <v>66</v>
      </c>
      <c r="G149" s="75" t="s">
        <v>142</v>
      </c>
      <c r="H149" s="76">
        <v>2</v>
      </c>
      <c r="I149" s="77">
        <v>32136</v>
      </c>
      <c r="J149" s="78">
        <v>0.04</v>
      </c>
      <c r="K149" s="75" t="s">
        <v>18</v>
      </c>
      <c r="L149" s="75" t="s">
        <v>34</v>
      </c>
      <c r="M149" s="77">
        <f t="shared" si="8"/>
        <v>64272</v>
      </c>
      <c r="N149" s="77">
        <f t="shared" si="9"/>
        <v>2570.88</v>
      </c>
      <c r="O149" s="77">
        <f t="shared" si="10"/>
        <v>61701.120000000003</v>
      </c>
      <c r="P149">
        <f t="shared" si="11"/>
        <v>6</v>
      </c>
    </row>
    <row r="150" spans="1:16">
      <c r="A150" s="79">
        <v>1149</v>
      </c>
      <c r="B150" s="80" t="s">
        <v>229</v>
      </c>
      <c r="C150" s="81" t="s">
        <v>69</v>
      </c>
      <c r="D150" s="81" t="s">
        <v>72</v>
      </c>
      <c r="E150" s="81" t="s">
        <v>41</v>
      </c>
      <c r="F150" s="81" t="s">
        <v>47</v>
      </c>
      <c r="G150" s="81" t="s">
        <v>135</v>
      </c>
      <c r="H150" s="82">
        <v>3</v>
      </c>
      <c r="I150" s="83">
        <v>37470</v>
      </c>
      <c r="J150" s="84">
        <v>0.19</v>
      </c>
      <c r="K150" s="81" t="s">
        <v>33</v>
      </c>
      <c r="L150" s="81" t="s">
        <v>63</v>
      </c>
      <c r="M150" s="83">
        <f t="shared" si="8"/>
        <v>112410</v>
      </c>
      <c r="N150" s="83">
        <f t="shared" si="9"/>
        <v>21357.9</v>
      </c>
      <c r="O150" s="83">
        <f t="shared" si="10"/>
        <v>91052.1</v>
      </c>
      <c r="P150">
        <f t="shared" si="11"/>
        <v>11</v>
      </c>
    </row>
    <row r="151" spans="1:16">
      <c r="A151" s="73">
        <v>1150</v>
      </c>
      <c r="B151" s="74" t="s">
        <v>230</v>
      </c>
      <c r="C151" s="75" t="s">
        <v>13</v>
      </c>
      <c r="D151" s="75" t="s">
        <v>141</v>
      </c>
      <c r="E151" s="75" t="s">
        <v>41</v>
      </c>
      <c r="F151" s="75" t="s">
        <v>76</v>
      </c>
      <c r="G151" s="75" t="s">
        <v>106</v>
      </c>
      <c r="H151" s="76">
        <v>1</v>
      </c>
      <c r="I151" s="77">
        <v>13796</v>
      </c>
      <c r="J151" s="78">
        <v>0.04</v>
      </c>
      <c r="K151" s="75" t="s">
        <v>18</v>
      </c>
      <c r="L151" s="75" t="s">
        <v>19</v>
      </c>
      <c r="M151" s="77">
        <f t="shared" si="8"/>
        <v>13796</v>
      </c>
      <c r="N151" s="77">
        <f t="shared" si="9"/>
        <v>551.84</v>
      </c>
      <c r="O151" s="77">
        <f t="shared" si="10"/>
        <v>13244.16</v>
      </c>
      <c r="P151">
        <f t="shared" si="11"/>
        <v>4</v>
      </c>
    </row>
    <row r="152" spans="1:16">
      <c r="A152" s="79">
        <v>1151</v>
      </c>
      <c r="B152" s="80" t="s">
        <v>231</v>
      </c>
      <c r="C152" s="81" t="s">
        <v>21</v>
      </c>
      <c r="D152" s="81" t="s">
        <v>22</v>
      </c>
      <c r="E152" s="81" t="s">
        <v>41</v>
      </c>
      <c r="F152" s="81" t="s">
        <v>47</v>
      </c>
      <c r="G152" s="81" t="s">
        <v>129</v>
      </c>
      <c r="H152" s="82">
        <v>2</v>
      </c>
      <c r="I152" s="83">
        <v>12446</v>
      </c>
      <c r="J152" s="84">
        <v>0.11</v>
      </c>
      <c r="K152" s="81" t="s">
        <v>33</v>
      </c>
      <c r="L152" s="81" t="s">
        <v>63</v>
      </c>
      <c r="M152" s="83">
        <f t="shared" si="8"/>
        <v>24892</v>
      </c>
      <c r="N152" s="83">
        <f t="shared" si="9"/>
        <v>2738.12</v>
      </c>
      <c r="O152" s="83">
        <f t="shared" si="10"/>
        <v>22153.88</v>
      </c>
      <c r="P152">
        <f t="shared" si="11"/>
        <v>1</v>
      </c>
    </row>
    <row r="153" spans="1:16">
      <c r="A153" s="73">
        <v>1152</v>
      </c>
      <c r="B153" s="74" t="s">
        <v>232</v>
      </c>
      <c r="C153" s="75" t="s">
        <v>13</v>
      </c>
      <c r="D153" s="75" t="s">
        <v>141</v>
      </c>
      <c r="E153" s="75" t="s">
        <v>41</v>
      </c>
      <c r="F153" s="75" t="s">
        <v>115</v>
      </c>
      <c r="G153" s="75" t="s">
        <v>180</v>
      </c>
      <c r="H153" s="76">
        <v>7</v>
      </c>
      <c r="I153" s="77">
        <v>17303</v>
      </c>
      <c r="J153" s="78">
        <v>0.1</v>
      </c>
      <c r="K153" s="75" t="s">
        <v>18</v>
      </c>
      <c r="L153" s="75" t="s">
        <v>39</v>
      </c>
      <c r="M153" s="77">
        <f t="shared" si="8"/>
        <v>121121</v>
      </c>
      <c r="N153" s="77">
        <f t="shared" si="9"/>
        <v>12112.1</v>
      </c>
      <c r="O153" s="77">
        <f t="shared" si="10"/>
        <v>109008.9</v>
      </c>
      <c r="P153">
        <f t="shared" si="11"/>
        <v>6</v>
      </c>
    </row>
    <row r="154" spans="1:16">
      <c r="A154" s="79">
        <v>1153</v>
      </c>
      <c r="B154" s="80" t="s">
        <v>233</v>
      </c>
      <c r="C154" s="81" t="s">
        <v>21</v>
      </c>
      <c r="D154" s="81" t="s">
        <v>80</v>
      </c>
      <c r="E154" s="81" t="s">
        <v>41</v>
      </c>
      <c r="F154" s="81" t="s">
        <v>115</v>
      </c>
      <c r="G154" s="81" t="s">
        <v>174</v>
      </c>
      <c r="H154" s="82">
        <v>1</v>
      </c>
      <c r="I154" s="83">
        <v>15192</v>
      </c>
      <c r="J154" s="84">
        <v>0.1</v>
      </c>
      <c r="K154" s="81" t="s">
        <v>33</v>
      </c>
      <c r="L154" s="81" t="s">
        <v>39</v>
      </c>
      <c r="M154" s="83">
        <f t="shared" si="8"/>
        <v>15192</v>
      </c>
      <c r="N154" s="83">
        <f t="shared" si="9"/>
        <v>1519.2</v>
      </c>
      <c r="O154" s="83">
        <f t="shared" si="10"/>
        <v>13672.8</v>
      </c>
      <c r="P154">
        <f t="shared" si="11"/>
        <v>6</v>
      </c>
    </row>
    <row r="155" spans="1:16">
      <c r="A155" s="73">
        <v>1154</v>
      </c>
      <c r="B155" s="74" t="s">
        <v>122</v>
      </c>
      <c r="C155" s="75" t="s">
        <v>28</v>
      </c>
      <c r="D155" s="75" t="s">
        <v>46</v>
      </c>
      <c r="E155" s="75" t="s">
        <v>41</v>
      </c>
      <c r="F155" s="75" t="s">
        <v>47</v>
      </c>
      <c r="G155" s="75" t="s">
        <v>135</v>
      </c>
      <c r="H155" s="76">
        <v>9</v>
      </c>
      <c r="I155" s="77">
        <v>22046</v>
      </c>
      <c r="J155" s="78">
        <v>0.02</v>
      </c>
      <c r="K155" s="75" t="s">
        <v>18</v>
      </c>
      <c r="L155" s="75" t="s">
        <v>26</v>
      </c>
      <c r="M155" s="77">
        <f t="shared" si="8"/>
        <v>198414</v>
      </c>
      <c r="N155" s="77">
        <f t="shared" si="9"/>
        <v>3968.28</v>
      </c>
      <c r="O155" s="77">
        <f t="shared" si="10"/>
        <v>194445.72</v>
      </c>
      <c r="P155">
        <f t="shared" si="11"/>
        <v>5</v>
      </c>
    </row>
    <row r="156" spans="1:16">
      <c r="A156" s="79">
        <v>1155</v>
      </c>
      <c r="B156" s="80" t="s">
        <v>234</v>
      </c>
      <c r="C156" s="81" t="s">
        <v>28</v>
      </c>
      <c r="D156" s="81" t="s">
        <v>36</v>
      </c>
      <c r="E156" s="81" t="s">
        <v>41</v>
      </c>
      <c r="F156" s="81" t="s">
        <v>42</v>
      </c>
      <c r="G156" s="81" t="s">
        <v>167</v>
      </c>
      <c r="H156" s="82">
        <v>10</v>
      </c>
      <c r="I156" s="83">
        <v>13866</v>
      </c>
      <c r="J156" s="84">
        <v>0.18</v>
      </c>
      <c r="K156" s="81" t="s">
        <v>33</v>
      </c>
      <c r="L156" s="81" t="s">
        <v>26</v>
      </c>
      <c r="M156" s="83">
        <f t="shared" si="8"/>
        <v>138660</v>
      </c>
      <c r="N156" s="83">
        <f t="shared" si="9"/>
        <v>24958.799999999999</v>
      </c>
      <c r="O156" s="83">
        <f t="shared" si="10"/>
        <v>113701.2</v>
      </c>
      <c r="P156">
        <f t="shared" si="11"/>
        <v>7</v>
      </c>
    </row>
    <row r="157" spans="1:16">
      <c r="A157" s="73">
        <v>1156</v>
      </c>
      <c r="B157" s="74" t="s">
        <v>235</v>
      </c>
      <c r="C157" s="75" t="s">
        <v>13</v>
      </c>
      <c r="D157" s="75" t="s">
        <v>14</v>
      </c>
      <c r="E157" s="75" t="s">
        <v>15</v>
      </c>
      <c r="F157" s="75" t="s">
        <v>85</v>
      </c>
      <c r="G157" s="75" t="s">
        <v>118</v>
      </c>
      <c r="H157" s="76">
        <v>3</v>
      </c>
      <c r="I157" s="77">
        <v>42716</v>
      </c>
      <c r="J157" s="78">
        <v>0.04</v>
      </c>
      <c r="K157" s="75" t="s">
        <v>18</v>
      </c>
      <c r="L157" s="75" t="s">
        <v>63</v>
      </c>
      <c r="M157" s="77">
        <f t="shared" si="8"/>
        <v>128148</v>
      </c>
      <c r="N157" s="77">
        <f t="shared" si="9"/>
        <v>5125.92</v>
      </c>
      <c r="O157" s="77">
        <f t="shared" si="10"/>
        <v>123022.08</v>
      </c>
      <c r="P157">
        <f t="shared" si="11"/>
        <v>11</v>
      </c>
    </row>
    <row r="158" spans="1:16">
      <c r="A158" s="79">
        <v>1157</v>
      </c>
      <c r="B158" s="80" t="s">
        <v>236</v>
      </c>
      <c r="C158" s="81" t="s">
        <v>69</v>
      </c>
      <c r="D158" s="81" t="s">
        <v>72</v>
      </c>
      <c r="E158" s="81" t="s">
        <v>41</v>
      </c>
      <c r="F158" s="81" t="s">
        <v>115</v>
      </c>
      <c r="G158" s="81" t="s">
        <v>116</v>
      </c>
      <c r="H158" s="82">
        <v>3</v>
      </c>
      <c r="I158" s="83">
        <v>18391</v>
      </c>
      <c r="J158" s="84">
        <v>0.2</v>
      </c>
      <c r="K158" s="81" t="s">
        <v>33</v>
      </c>
      <c r="L158" s="81" t="s">
        <v>73</v>
      </c>
      <c r="M158" s="83">
        <f t="shared" si="8"/>
        <v>55173</v>
      </c>
      <c r="N158" s="83">
        <f t="shared" si="9"/>
        <v>11034.6</v>
      </c>
      <c r="O158" s="83">
        <f t="shared" si="10"/>
        <v>44138.400000000001</v>
      </c>
      <c r="P158">
        <f t="shared" si="11"/>
        <v>5</v>
      </c>
    </row>
    <row r="159" spans="1:16">
      <c r="A159" s="73">
        <v>1158</v>
      </c>
      <c r="B159" s="74" t="s">
        <v>237</v>
      </c>
      <c r="C159" s="75" t="s">
        <v>13</v>
      </c>
      <c r="D159" s="75" t="s">
        <v>82</v>
      </c>
      <c r="E159" s="75" t="s">
        <v>23</v>
      </c>
      <c r="F159" s="75" t="s">
        <v>24</v>
      </c>
      <c r="G159" s="75" t="s">
        <v>25</v>
      </c>
      <c r="H159" s="76">
        <v>3</v>
      </c>
      <c r="I159" s="77">
        <v>24944</v>
      </c>
      <c r="J159" s="78">
        <v>0.12</v>
      </c>
      <c r="K159" s="75" t="s">
        <v>33</v>
      </c>
      <c r="L159" s="75" t="s">
        <v>19</v>
      </c>
      <c r="M159" s="77">
        <f t="shared" si="8"/>
        <v>74832</v>
      </c>
      <c r="N159" s="77">
        <f t="shared" si="9"/>
        <v>8979.84</v>
      </c>
      <c r="O159" s="77">
        <f t="shared" si="10"/>
        <v>65852.160000000003</v>
      </c>
      <c r="P159">
        <f t="shared" si="11"/>
        <v>1</v>
      </c>
    </row>
    <row r="160" spans="1:16">
      <c r="A160" s="79">
        <v>1159</v>
      </c>
      <c r="B160" s="80" t="s">
        <v>108</v>
      </c>
      <c r="C160" s="81" t="s">
        <v>21</v>
      </c>
      <c r="D160" s="81" t="s">
        <v>60</v>
      </c>
      <c r="E160" s="81" t="s">
        <v>23</v>
      </c>
      <c r="F160" s="81" t="s">
        <v>131</v>
      </c>
      <c r="G160" s="81" t="s">
        <v>132</v>
      </c>
      <c r="H160" s="82">
        <v>7</v>
      </c>
      <c r="I160" s="83">
        <v>38621</v>
      </c>
      <c r="J160" s="84">
        <v>0.19</v>
      </c>
      <c r="K160" s="81" t="s">
        <v>33</v>
      </c>
      <c r="L160" s="81" t="s">
        <v>34</v>
      </c>
      <c r="M160" s="83">
        <f t="shared" si="8"/>
        <v>270347</v>
      </c>
      <c r="N160" s="83">
        <f t="shared" si="9"/>
        <v>51365.93</v>
      </c>
      <c r="O160" s="83">
        <f t="shared" si="10"/>
        <v>218981.07</v>
      </c>
      <c r="P160">
        <f t="shared" si="11"/>
        <v>7</v>
      </c>
    </row>
    <row r="161" spans="1:16">
      <c r="A161" s="73">
        <v>1160</v>
      </c>
      <c r="B161" s="74" t="s">
        <v>238</v>
      </c>
      <c r="C161" s="75" t="s">
        <v>69</v>
      </c>
      <c r="D161" s="75" t="s">
        <v>75</v>
      </c>
      <c r="E161" s="75" t="s">
        <v>15</v>
      </c>
      <c r="F161" s="75" t="s">
        <v>50</v>
      </c>
      <c r="G161" s="75" t="s">
        <v>120</v>
      </c>
      <c r="H161" s="76">
        <v>7</v>
      </c>
      <c r="I161" s="77">
        <v>14633</v>
      </c>
      <c r="J161" s="78">
        <v>0.15</v>
      </c>
      <c r="K161" s="75" t="s">
        <v>33</v>
      </c>
      <c r="L161" s="75" t="s">
        <v>34</v>
      </c>
      <c r="M161" s="77">
        <f t="shared" si="8"/>
        <v>102431</v>
      </c>
      <c r="N161" s="77">
        <f t="shared" si="9"/>
        <v>15364.65</v>
      </c>
      <c r="O161" s="77">
        <f t="shared" si="10"/>
        <v>87066.35</v>
      </c>
      <c r="P161">
        <f t="shared" si="11"/>
        <v>3</v>
      </c>
    </row>
    <row r="162" spans="1:16">
      <c r="A162" s="79">
        <v>1161</v>
      </c>
      <c r="B162" s="80" t="s">
        <v>239</v>
      </c>
      <c r="C162" s="81" t="s">
        <v>28</v>
      </c>
      <c r="D162" s="81" t="s">
        <v>29</v>
      </c>
      <c r="E162" s="81" t="s">
        <v>41</v>
      </c>
      <c r="F162" s="81" t="s">
        <v>76</v>
      </c>
      <c r="G162" s="81" t="s">
        <v>77</v>
      </c>
      <c r="H162" s="82">
        <v>2</v>
      </c>
      <c r="I162" s="83">
        <v>12959</v>
      </c>
      <c r="J162" s="84">
        <v>0.01</v>
      </c>
      <c r="K162" s="81" t="s">
        <v>33</v>
      </c>
      <c r="L162" s="81" t="s">
        <v>39</v>
      </c>
      <c r="M162" s="83">
        <f t="shared" si="8"/>
        <v>25918</v>
      </c>
      <c r="N162" s="83">
        <f t="shared" si="9"/>
        <v>259.18</v>
      </c>
      <c r="O162" s="83">
        <f t="shared" si="10"/>
        <v>25658.82</v>
      </c>
      <c r="P162">
        <f t="shared" si="11"/>
        <v>11</v>
      </c>
    </row>
    <row r="163" spans="1:16">
      <c r="A163" s="73">
        <v>1162</v>
      </c>
      <c r="B163" s="74" t="s">
        <v>240</v>
      </c>
      <c r="C163" s="75" t="s">
        <v>69</v>
      </c>
      <c r="D163" s="75" t="s">
        <v>72</v>
      </c>
      <c r="E163" s="75" t="s">
        <v>41</v>
      </c>
      <c r="F163" s="75" t="s">
        <v>47</v>
      </c>
      <c r="G163" s="75" t="s">
        <v>48</v>
      </c>
      <c r="H163" s="76">
        <v>8</v>
      </c>
      <c r="I163" s="77">
        <v>31878</v>
      </c>
      <c r="J163" s="78">
        <v>0.18</v>
      </c>
      <c r="K163" s="75" t="s">
        <v>18</v>
      </c>
      <c r="L163" s="75" t="s">
        <v>39</v>
      </c>
      <c r="M163" s="77">
        <f t="shared" si="8"/>
        <v>255024</v>
      </c>
      <c r="N163" s="77">
        <f t="shared" si="9"/>
        <v>45904.32</v>
      </c>
      <c r="O163" s="77">
        <f t="shared" si="10"/>
        <v>209119.68</v>
      </c>
      <c r="P163">
        <f t="shared" si="11"/>
        <v>1</v>
      </c>
    </row>
    <row r="164" spans="1:16">
      <c r="A164" s="79">
        <v>1163</v>
      </c>
      <c r="B164" s="80" t="s">
        <v>212</v>
      </c>
      <c r="C164" s="81" t="s">
        <v>69</v>
      </c>
      <c r="D164" s="81" t="s">
        <v>111</v>
      </c>
      <c r="E164" s="81" t="s">
        <v>23</v>
      </c>
      <c r="F164" s="81" t="s">
        <v>155</v>
      </c>
      <c r="G164" s="81" t="s">
        <v>193</v>
      </c>
      <c r="H164" s="82">
        <v>10</v>
      </c>
      <c r="I164" s="83">
        <v>48632</v>
      </c>
      <c r="J164" s="84">
        <v>0.09</v>
      </c>
      <c r="K164" s="81" t="s">
        <v>33</v>
      </c>
      <c r="L164" s="81" t="s">
        <v>63</v>
      </c>
      <c r="M164" s="83">
        <f t="shared" si="8"/>
        <v>486320</v>
      </c>
      <c r="N164" s="83">
        <f t="shared" si="9"/>
        <v>43768.799999999996</v>
      </c>
      <c r="O164" s="83">
        <f t="shared" si="10"/>
        <v>442551.2</v>
      </c>
      <c r="P164">
        <f t="shared" si="11"/>
        <v>2</v>
      </c>
    </row>
    <row r="165" spans="1:16">
      <c r="A165" s="73">
        <v>1164</v>
      </c>
      <c r="B165" s="74" t="s">
        <v>241</v>
      </c>
      <c r="C165" s="75" t="s">
        <v>21</v>
      </c>
      <c r="D165" s="75" t="s">
        <v>60</v>
      </c>
      <c r="E165" s="75" t="s">
        <v>23</v>
      </c>
      <c r="F165" s="75" t="s">
        <v>131</v>
      </c>
      <c r="G165" s="75" t="s">
        <v>223</v>
      </c>
      <c r="H165" s="76">
        <v>9</v>
      </c>
      <c r="I165" s="77">
        <v>9040</v>
      </c>
      <c r="J165" s="78">
        <v>0.04</v>
      </c>
      <c r="K165" s="75" t="s">
        <v>18</v>
      </c>
      <c r="L165" s="75" t="s">
        <v>26</v>
      </c>
      <c r="M165" s="77">
        <f t="shared" si="8"/>
        <v>81360</v>
      </c>
      <c r="N165" s="77">
        <f t="shared" si="9"/>
        <v>3254.4</v>
      </c>
      <c r="O165" s="77">
        <f t="shared" si="10"/>
        <v>78105.600000000006</v>
      </c>
      <c r="P165">
        <f t="shared" si="11"/>
        <v>10</v>
      </c>
    </row>
    <row r="166" spans="1:16">
      <c r="A166" s="79">
        <v>1165</v>
      </c>
      <c r="B166" s="80" t="s">
        <v>242</v>
      </c>
      <c r="C166" s="81" t="s">
        <v>13</v>
      </c>
      <c r="D166" s="81" t="s">
        <v>14</v>
      </c>
      <c r="E166" s="81" t="s">
        <v>15</v>
      </c>
      <c r="F166" s="81" t="s">
        <v>100</v>
      </c>
      <c r="G166" s="81" t="s">
        <v>148</v>
      </c>
      <c r="H166" s="82">
        <v>1</v>
      </c>
      <c r="I166" s="83">
        <v>43890</v>
      </c>
      <c r="J166" s="84">
        <v>0.2</v>
      </c>
      <c r="K166" s="81" t="s">
        <v>18</v>
      </c>
      <c r="L166" s="81" t="s">
        <v>34</v>
      </c>
      <c r="M166" s="83">
        <f t="shared" si="8"/>
        <v>43890</v>
      </c>
      <c r="N166" s="83">
        <f t="shared" si="9"/>
        <v>8778</v>
      </c>
      <c r="O166" s="83">
        <f t="shared" si="10"/>
        <v>35112</v>
      </c>
      <c r="P166">
        <f t="shared" si="11"/>
        <v>7</v>
      </c>
    </row>
    <row r="167" spans="1:16">
      <c r="A167" s="73">
        <v>1166</v>
      </c>
      <c r="B167" s="74" t="s">
        <v>64</v>
      </c>
      <c r="C167" s="75" t="s">
        <v>28</v>
      </c>
      <c r="D167" s="75" t="s">
        <v>58</v>
      </c>
      <c r="E167" s="75" t="s">
        <v>15</v>
      </c>
      <c r="F167" s="75" t="s">
        <v>100</v>
      </c>
      <c r="G167" s="75" t="s">
        <v>219</v>
      </c>
      <c r="H167" s="76">
        <v>6</v>
      </c>
      <c r="I167" s="77">
        <v>1457</v>
      </c>
      <c r="J167" s="78">
        <v>0.14000000000000001</v>
      </c>
      <c r="K167" s="75" t="s">
        <v>18</v>
      </c>
      <c r="L167" s="75" t="s">
        <v>26</v>
      </c>
      <c r="M167" s="77">
        <f t="shared" si="8"/>
        <v>8742</v>
      </c>
      <c r="N167" s="77">
        <f t="shared" si="9"/>
        <v>1223.8800000000001</v>
      </c>
      <c r="O167" s="77">
        <f t="shared" si="10"/>
        <v>7518.12</v>
      </c>
      <c r="P167">
        <f t="shared" si="11"/>
        <v>12</v>
      </c>
    </row>
    <row r="168" spans="1:16">
      <c r="A168" s="79">
        <v>1167</v>
      </c>
      <c r="B168" s="80" t="s">
        <v>239</v>
      </c>
      <c r="C168" s="81" t="s">
        <v>69</v>
      </c>
      <c r="D168" s="81" t="s">
        <v>75</v>
      </c>
      <c r="E168" s="81" t="s">
        <v>15</v>
      </c>
      <c r="F168" s="81" t="s">
        <v>16</v>
      </c>
      <c r="G168" s="81" t="s">
        <v>127</v>
      </c>
      <c r="H168" s="82">
        <v>4</v>
      </c>
      <c r="I168" s="83">
        <v>2250</v>
      </c>
      <c r="J168" s="84">
        <v>0.03</v>
      </c>
      <c r="K168" s="81" t="s">
        <v>18</v>
      </c>
      <c r="L168" s="81" t="s">
        <v>44</v>
      </c>
      <c r="M168" s="83">
        <f t="shared" si="8"/>
        <v>9000</v>
      </c>
      <c r="N168" s="83">
        <f t="shared" si="9"/>
        <v>270</v>
      </c>
      <c r="O168" s="83">
        <f t="shared" si="10"/>
        <v>8730</v>
      </c>
      <c r="P168">
        <f t="shared" si="11"/>
        <v>11</v>
      </c>
    </row>
    <row r="169" spans="1:16">
      <c r="A169" s="73">
        <v>1168</v>
      </c>
      <c r="B169" s="74" t="s">
        <v>243</v>
      </c>
      <c r="C169" s="75" t="s">
        <v>69</v>
      </c>
      <c r="D169" s="75" t="s">
        <v>75</v>
      </c>
      <c r="E169" s="75" t="s">
        <v>23</v>
      </c>
      <c r="F169" s="75" t="s">
        <v>155</v>
      </c>
      <c r="G169" s="75" t="s">
        <v>193</v>
      </c>
      <c r="H169" s="76">
        <v>6</v>
      </c>
      <c r="I169" s="77">
        <v>34396</v>
      </c>
      <c r="J169" s="78">
        <v>0.11</v>
      </c>
      <c r="K169" s="75" t="s">
        <v>18</v>
      </c>
      <c r="L169" s="75" t="s">
        <v>44</v>
      </c>
      <c r="M169" s="77">
        <f t="shared" si="8"/>
        <v>206376</v>
      </c>
      <c r="N169" s="77">
        <f t="shared" si="9"/>
        <v>22701.360000000001</v>
      </c>
      <c r="O169" s="77">
        <f t="shared" si="10"/>
        <v>183674.64</v>
      </c>
      <c r="P169">
        <f t="shared" si="11"/>
        <v>3</v>
      </c>
    </row>
    <row r="170" spans="1:16">
      <c r="A170" s="79">
        <v>1169</v>
      </c>
      <c r="B170" s="80" t="s">
        <v>244</v>
      </c>
      <c r="C170" s="81" t="s">
        <v>13</v>
      </c>
      <c r="D170" s="81" t="s">
        <v>14</v>
      </c>
      <c r="E170" s="81" t="s">
        <v>41</v>
      </c>
      <c r="F170" s="81" t="s">
        <v>42</v>
      </c>
      <c r="G170" s="81" t="s">
        <v>43</v>
      </c>
      <c r="H170" s="82">
        <v>9</v>
      </c>
      <c r="I170" s="83">
        <v>5209</v>
      </c>
      <c r="J170" s="84">
        <v>0.18</v>
      </c>
      <c r="K170" s="81" t="s">
        <v>18</v>
      </c>
      <c r="L170" s="81" t="s">
        <v>19</v>
      </c>
      <c r="M170" s="83">
        <f t="shared" si="8"/>
        <v>46881</v>
      </c>
      <c r="N170" s="83">
        <f t="shared" si="9"/>
        <v>8438.58</v>
      </c>
      <c r="O170" s="83">
        <f t="shared" si="10"/>
        <v>38442.42</v>
      </c>
      <c r="P170">
        <f t="shared" si="11"/>
        <v>9</v>
      </c>
    </row>
    <row r="171" spans="1:16">
      <c r="A171" s="73">
        <v>1170</v>
      </c>
      <c r="B171" s="74" t="s">
        <v>192</v>
      </c>
      <c r="C171" s="75" t="s">
        <v>21</v>
      </c>
      <c r="D171" s="75" t="s">
        <v>114</v>
      </c>
      <c r="E171" s="75" t="s">
        <v>23</v>
      </c>
      <c r="F171" s="75" t="s">
        <v>24</v>
      </c>
      <c r="G171" s="75" t="s">
        <v>94</v>
      </c>
      <c r="H171" s="76">
        <v>9</v>
      </c>
      <c r="I171" s="77">
        <v>19599</v>
      </c>
      <c r="J171" s="78">
        <v>0.18</v>
      </c>
      <c r="K171" s="75" t="s">
        <v>33</v>
      </c>
      <c r="L171" s="75" t="s">
        <v>39</v>
      </c>
      <c r="M171" s="77">
        <f t="shared" si="8"/>
        <v>176391</v>
      </c>
      <c r="N171" s="77">
        <f t="shared" si="9"/>
        <v>31750.379999999997</v>
      </c>
      <c r="O171" s="77">
        <f t="shared" si="10"/>
        <v>144640.62</v>
      </c>
      <c r="P171">
        <f t="shared" si="11"/>
        <v>11</v>
      </c>
    </row>
    <row r="172" spans="1:16">
      <c r="A172" s="79">
        <v>1171</v>
      </c>
      <c r="B172" s="80" t="s">
        <v>245</v>
      </c>
      <c r="C172" s="81" t="s">
        <v>69</v>
      </c>
      <c r="D172" s="81" t="s">
        <v>72</v>
      </c>
      <c r="E172" s="81" t="s">
        <v>15</v>
      </c>
      <c r="F172" s="81" t="s">
        <v>50</v>
      </c>
      <c r="G172" s="81" t="s">
        <v>51</v>
      </c>
      <c r="H172" s="82">
        <v>5</v>
      </c>
      <c r="I172" s="83">
        <v>15421</v>
      </c>
      <c r="J172" s="84">
        <v>0.12</v>
      </c>
      <c r="K172" s="81" t="s">
        <v>18</v>
      </c>
      <c r="L172" s="81" t="s">
        <v>19</v>
      </c>
      <c r="M172" s="83">
        <f t="shared" si="8"/>
        <v>77105</v>
      </c>
      <c r="N172" s="83">
        <f t="shared" si="9"/>
        <v>9252.6</v>
      </c>
      <c r="O172" s="83">
        <f t="shared" si="10"/>
        <v>67852.399999999994</v>
      </c>
      <c r="P172">
        <f t="shared" si="11"/>
        <v>9</v>
      </c>
    </row>
    <row r="173" spans="1:16">
      <c r="A173" s="73">
        <v>1172</v>
      </c>
      <c r="B173" s="74" t="s">
        <v>161</v>
      </c>
      <c r="C173" s="75" t="s">
        <v>69</v>
      </c>
      <c r="D173" s="75" t="s">
        <v>70</v>
      </c>
      <c r="E173" s="75" t="s">
        <v>30</v>
      </c>
      <c r="F173" s="75" t="s">
        <v>31</v>
      </c>
      <c r="G173" s="75" t="s">
        <v>88</v>
      </c>
      <c r="H173" s="76">
        <v>6</v>
      </c>
      <c r="I173" s="77">
        <v>22509</v>
      </c>
      <c r="J173" s="78">
        <v>0.08</v>
      </c>
      <c r="K173" s="75" t="s">
        <v>33</v>
      </c>
      <c r="L173" s="75" t="s">
        <v>44</v>
      </c>
      <c r="M173" s="77">
        <f t="shared" si="8"/>
        <v>135054</v>
      </c>
      <c r="N173" s="77">
        <f t="shared" si="9"/>
        <v>10804.32</v>
      </c>
      <c r="O173" s="77">
        <f t="shared" si="10"/>
        <v>124249.68</v>
      </c>
      <c r="P173">
        <f t="shared" si="11"/>
        <v>6</v>
      </c>
    </row>
    <row r="174" spans="1:16">
      <c r="A174" s="79">
        <v>1173</v>
      </c>
      <c r="B174" s="80" t="s">
        <v>214</v>
      </c>
      <c r="C174" s="81" t="s">
        <v>28</v>
      </c>
      <c r="D174" s="81" t="s">
        <v>58</v>
      </c>
      <c r="E174" s="81" t="s">
        <v>41</v>
      </c>
      <c r="F174" s="81" t="s">
        <v>42</v>
      </c>
      <c r="G174" s="81" t="s">
        <v>167</v>
      </c>
      <c r="H174" s="82">
        <v>8</v>
      </c>
      <c r="I174" s="83">
        <v>38709</v>
      </c>
      <c r="J174" s="84">
        <v>0.04</v>
      </c>
      <c r="K174" s="81" t="s">
        <v>33</v>
      </c>
      <c r="L174" s="81" t="s">
        <v>19</v>
      </c>
      <c r="M174" s="83">
        <f t="shared" si="8"/>
        <v>309672</v>
      </c>
      <c r="N174" s="83">
        <f t="shared" si="9"/>
        <v>12386.880000000001</v>
      </c>
      <c r="O174" s="83">
        <f t="shared" si="10"/>
        <v>297285.12</v>
      </c>
      <c r="P174">
        <f t="shared" si="11"/>
        <v>10</v>
      </c>
    </row>
    <row r="175" spans="1:16">
      <c r="A175" s="73">
        <v>1174</v>
      </c>
      <c r="B175" s="74" t="s">
        <v>246</v>
      </c>
      <c r="C175" s="75" t="s">
        <v>21</v>
      </c>
      <c r="D175" s="75" t="s">
        <v>60</v>
      </c>
      <c r="E175" s="75" t="s">
        <v>30</v>
      </c>
      <c r="F175" s="75" t="s">
        <v>55</v>
      </c>
      <c r="G175" s="75" t="s">
        <v>112</v>
      </c>
      <c r="H175" s="76">
        <v>10</v>
      </c>
      <c r="I175" s="77">
        <v>34366</v>
      </c>
      <c r="J175" s="78">
        <v>0.16</v>
      </c>
      <c r="K175" s="75" t="s">
        <v>33</v>
      </c>
      <c r="L175" s="75" t="s">
        <v>103</v>
      </c>
      <c r="M175" s="77">
        <f t="shared" si="8"/>
        <v>343660</v>
      </c>
      <c r="N175" s="77">
        <f t="shared" si="9"/>
        <v>54985.599999999999</v>
      </c>
      <c r="O175" s="77">
        <f t="shared" si="10"/>
        <v>288674.40000000002</v>
      </c>
      <c r="P175">
        <f t="shared" si="11"/>
        <v>1</v>
      </c>
    </row>
    <row r="176" spans="1:16">
      <c r="A176" s="79">
        <v>1175</v>
      </c>
      <c r="B176" s="80" t="s">
        <v>247</v>
      </c>
      <c r="C176" s="81" t="s">
        <v>13</v>
      </c>
      <c r="D176" s="81" t="s">
        <v>14</v>
      </c>
      <c r="E176" s="81" t="s">
        <v>41</v>
      </c>
      <c r="F176" s="81" t="s">
        <v>47</v>
      </c>
      <c r="G176" s="81" t="s">
        <v>135</v>
      </c>
      <c r="H176" s="82">
        <v>2</v>
      </c>
      <c r="I176" s="83">
        <v>25509</v>
      </c>
      <c r="J176" s="84">
        <v>0.02</v>
      </c>
      <c r="K176" s="81" t="s">
        <v>18</v>
      </c>
      <c r="L176" s="81" t="s">
        <v>39</v>
      </c>
      <c r="M176" s="83">
        <f t="shared" si="8"/>
        <v>51018</v>
      </c>
      <c r="N176" s="83">
        <f t="shared" si="9"/>
        <v>1020.36</v>
      </c>
      <c r="O176" s="83">
        <f t="shared" si="10"/>
        <v>49997.64</v>
      </c>
      <c r="P176">
        <f t="shared" si="11"/>
        <v>10</v>
      </c>
    </row>
    <row r="177" spans="1:16">
      <c r="A177" s="73">
        <v>1176</v>
      </c>
      <c r="B177" s="74" t="s">
        <v>248</v>
      </c>
      <c r="C177" s="75" t="s">
        <v>21</v>
      </c>
      <c r="D177" s="75" t="s">
        <v>80</v>
      </c>
      <c r="E177" s="75" t="s">
        <v>41</v>
      </c>
      <c r="F177" s="75" t="s">
        <v>76</v>
      </c>
      <c r="G177" s="75" t="s">
        <v>123</v>
      </c>
      <c r="H177" s="76">
        <v>10</v>
      </c>
      <c r="I177" s="77">
        <v>17752</v>
      </c>
      <c r="J177" s="78">
        <v>0.02</v>
      </c>
      <c r="K177" s="75" t="s">
        <v>18</v>
      </c>
      <c r="L177" s="75" t="s">
        <v>39</v>
      </c>
      <c r="M177" s="77">
        <f t="shared" si="8"/>
        <v>177520</v>
      </c>
      <c r="N177" s="77">
        <f t="shared" si="9"/>
        <v>3550.4</v>
      </c>
      <c r="O177" s="77">
        <f t="shared" si="10"/>
        <v>173969.6</v>
      </c>
      <c r="P177">
        <f t="shared" si="11"/>
        <v>12</v>
      </c>
    </row>
    <row r="178" spans="1:16">
      <c r="A178" s="79">
        <v>1177</v>
      </c>
      <c r="B178" s="80" t="s">
        <v>184</v>
      </c>
      <c r="C178" s="81" t="s">
        <v>13</v>
      </c>
      <c r="D178" s="81" t="s">
        <v>82</v>
      </c>
      <c r="E178" s="81" t="s">
        <v>30</v>
      </c>
      <c r="F178" s="81" t="s">
        <v>61</v>
      </c>
      <c r="G178" s="81" t="s">
        <v>163</v>
      </c>
      <c r="H178" s="82">
        <v>6</v>
      </c>
      <c r="I178" s="83">
        <v>15623</v>
      </c>
      <c r="J178" s="84">
        <v>7.0000000000000007E-2</v>
      </c>
      <c r="K178" s="81" t="s">
        <v>18</v>
      </c>
      <c r="L178" s="81" t="s">
        <v>63</v>
      </c>
      <c r="M178" s="83">
        <f t="shared" si="8"/>
        <v>93738</v>
      </c>
      <c r="N178" s="83">
        <f t="shared" si="9"/>
        <v>6561.6600000000008</v>
      </c>
      <c r="O178" s="83">
        <f t="shared" si="10"/>
        <v>87176.34</v>
      </c>
      <c r="P178">
        <f t="shared" si="11"/>
        <v>12</v>
      </c>
    </row>
    <row r="179" spans="1:16">
      <c r="A179" s="73">
        <v>1178</v>
      </c>
      <c r="B179" s="74" t="s">
        <v>249</v>
      </c>
      <c r="C179" s="75" t="s">
        <v>69</v>
      </c>
      <c r="D179" s="75" t="s">
        <v>70</v>
      </c>
      <c r="E179" s="75" t="s">
        <v>30</v>
      </c>
      <c r="F179" s="75" t="s">
        <v>31</v>
      </c>
      <c r="G179" s="75" t="s">
        <v>109</v>
      </c>
      <c r="H179" s="76">
        <v>1</v>
      </c>
      <c r="I179" s="77">
        <v>32685</v>
      </c>
      <c r="J179" s="78">
        <v>0.09</v>
      </c>
      <c r="K179" s="75" t="s">
        <v>18</v>
      </c>
      <c r="L179" s="75" t="s">
        <v>19</v>
      </c>
      <c r="M179" s="77">
        <f t="shared" si="8"/>
        <v>32685</v>
      </c>
      <c r="N179" s="77">
        <f t="shared" si="9"/>
        <v>2941.65</v>
      </c>
      <c r="O179" s="77">
        <f t="shared" si="10"/>
        <v>29743.35</v>
      </c>
      <c r="P179">
        <f t="shared" si="11"/>
        <v>3</v>
      </c>
    </row>
    <row r="180" spans="1:16">
      <c r="A180" s="79">
        <v>1179</v>
      </c>
      <c r="B180" s="80" t="s">
        <v>239</v>
      </c>
      <c r="C180" s="81" t="s">
        <v>28</v>
      </c>
      <c r="D180" s="81" t="s">
        <v>36</v>
      </c>
      <c r="E180" s="81" t="s">
        <v>41</v>
      </c>
      <c r="F180" s="81" t="s">
        <v>115</v>
      </c>
      <c r="G180" s="81" t="s">
        <v>116</v>
      </c>
      <c r="H180" s="82">
        <v>4</v>
      </c>
      <c r="I180" s="83">
        <v>9686</v>
      </c>
      <c r="J180" s="84">
        <v>0.12</v>
      </c>
      <c r="K180" s="81" t="s">
        <v>18</v>
      </c>
      <c r="L180" s="81" t="s">
        <v>103</v>
      </c>
      <c r="M180" s="83">
        <f t="shared" si="8"/>
        <v>38744</v>
      </c>
      <c r="N180" s="83">
        <f t="shared" si="9"/>
        <v>4649.28</v>
      </c>
      <c r="O180" s="83">
        <f t="shared" si="10"/>
        <v>34094.720000000001</v>
      </c>
      <c r="P180">
        <f t="shared" si="11"/>
        <v>11</v>
      </c>
    </row>
    <row r="181" spans="1:16">
      <c r="A181" s="73">
        <v>1180</v>
      </c>
      <c r="B181" s="74" t="s">
        <v>250</v>
      </c>
      <c r="C181" s="75" t="s">
        <v>28</v>
      </c>
      <c r="D181" s="75" t="s">
        <v>58</v>
      </c>
      <c r="E181" s="75" t="s">
        <v>30</v>
      </c>
      <c r="F181" s="75" t="s">
        <v>66</v>
      </c>
      <c r="G181" s="75" t="s">
        <v>199</v>
      </c>
      <c r="H181" s="76">
        <v>9</v>
      </c>
      <c r="I181" s="77">
        <v>33987</v>
      </c>
      <c r="J181" s="78">
        <v>0.09</v>
      </c>
      <c r="K181" s="75" t="s">
        <v>33</v>
      </c>
      <c r="L181" s="75" t="s">
        <v>63</v>
      </c>
      <c r="M181" s="77">
        <f t="shared" si="8"/>
        <v>305883</v>
      </c>
      <c r="N181" s="77">
        <f t="shared" si="9"/>
        <v>27529.469999999998</v>
      </c>
      <c r="O181" s="77">
        <f t="shared" si="10"/>
        <v>278353.53000000003</v>
      </c>
      <c r="P181">
        <f t="shared" si="11"/>
        <v>5</v>
      </c>
    </row>
    <row r="182" spans="1:16">
      <c r="A182" s="79">
        <v>1181</v>
      </c>
      <c r="B182" s="80" t="s">
        <v>133</v>
      </c>
      <c r="C182" s="81" t="s">
        <v>21</v>
      </c>
      <c r="D182" s="81" t="s">
        <v>60</v>
      </c>
      <c r="E182" s="81" t="s">
        <v>15</v>
      </c>
      <c r="F182" s="81" t="s">
        <v>50</v>
      </c>
      <c r="G182" s="81" t="s">
        <v>126</v>
      </c>
      <c r="H182" s="82">
        <v>1</v>
      </c>
      <c r="I182" s="83">
        <v>1413</v>
      </c>
      <c r="J182" s="84">
        <v>0.06</v>
      </c>
      <c r="K182" s="81" t="s">
        <v>18</v>
      </c>
      <c r="L182" s="81" t="s">
        <v>34</v>
      </c>
      <c r="M182" s="83">
        <f t="shared" si="8"/>
        <v>1413</v>
      </c>
      <c r="N182" s="83">
        <f t="shared" si="9"/>
        <v>84.78</v>
      </c>
      <c r="O182" s="83">
        <f t="shared" si="10"/>
        <v>1328.22</v>
      </c>
      <c r="P182">
        <f t="shared" si="11"/>
        <v>5</v>
      </c>
    </row>
    <row r="183" spans="1:16">
      <c r="A183" s="73">
        <v>1182</v>
      </c>
      <c r="B183" s="74" t="s">
        <v>251</v>
      </c>
      <c r="C183" s="75" t="s">
        <v>69</v>
      </c>
      <c r="D183" s="75" t="s">
        <v>72</v>
      </c>
      <c r="E183" s="75" t="s">
        <v>30</v>
      </c>
      <c r="F183" s="75" t="s">
        <v>66</v>
      </c>
      <c r="G183" s="75" t="s">
        <v>199</v>
      </c>
      <c r="H183" s="76">
        <v>7</v>
      </c>
      <c r="I183" s="77">
        <v>20994</v>
      </c>
      <c r="J183" s="78">
        <v>0.17</v>
      </c>
      <c r="K183" s="75" t="s">
        <v>33</v>
      </c>
      <c r="L183" s="75" t="s">
        <v>19</v>
      </c>
      <c r="M183" s="77">
        <f t="shared" si="8"/>
        <v>146958</v>
      </c>
      <c r="N183" s="77">
        <f t="shared" si="9"/>
        <v>24982.86</v>
      </c>
      <c r="O183" s="77">
        <f t="shared" si="10"/>
        <v>121975.14</v>
      </c>
      <c r="P183">
        <f t="shared" si="11"/>
        <v>9</v>
      </c>
    </row>
    <row r="184" spans="1:16">
      <c r="A184" s="79">
        <v>1183</v>
      </c>
      <c r="B184" s="80" t="s">
        <v>252</v>
      </c>
      <c r="C184" s="81" t="s">
        <v>13</v>
      </c>
      <c r="D184" s="81" t="s">
        <v>141</v>
      </c>
      <c r="E184" s="81" t="s">
        <v>41</v>
      </c>
      <c r="F184" s="81" t="s">
        <v>42</v>
      </c>
      <c r="G184" s="81" t="s">
        <v>167</v>
      </c>
      <c r="H184" s="82">
        <v>7</v>
      </c>
      <c r="I184" s="83">
        <v>26427</v>
      </c>
      <c r="J184" s="84">
        <v>0.11</v>
      </c>
      <c r="K184" s="81" t="s">
        <v>33</v>
      </c>
      <c r="L184" s="81" t="s">
        <v>19</v>
      </c>
      <c r="M184" s="83">
        <f t="shared" si="8"/>
        <v>184989</v>
      </c>
      <c r="N184" s="83">
        <f t="shared" si="9"/>
        <v>20348.79</v>
      </c>
      <c r="O184" s="83">
        <f t="shared" si="10"/>
        <v>164640.21</v>
      </c>
      <c r="P184">
        <f t="shared" si="11"/>
        <v>5</v>
      </c>
    </row>
    <row r="185" spans="1:16">
      <c r="A185" s="73">
        <v>1184</v>
      </c>
      <c r="B185" s="74" t="s">
        <v>54</v>
      </c>
      <c r="C185" s="75" t="s">
        <v>21</v>
      </c>
      <c r="D185" s="75" t="s">
        <v>22</v>
      </c>
      <c r="E185" s="75" t="s">
        <v>23</v>
      </c>
      <c r="F185" s="75" t="s">
        <v>155</v>
      </c>
      <c r="G185" s="75" t="s">
        <v>156</v>
      </c>
      <c r="H185" s="76">
        <v>5</v>
      </c>
      <c r="I185" s="77">
        <v>27705</v>
      </c>
      <c r="J185" s="78">
        <v>0</v>
      </c>
      <c r="K185" s="75" t="s">
        <v>33</v>
      </c>
      <c r="L185" s="75" t="s">
        <v>26</v>
      </c>
      <c r="M185" s="77">
        <f t="shared" si="8"/>
        <v>138525</v>
      </c>
      <c r="N185" s="77">
        <f t="shared" si="9"/>
        <v>0</v>
      </c>
      <c r="O185" s="77">
        <f t="shared" si="10"/>
        <v>138525</v>
      </c>
      <c r="P185">
        <f t="shared" si="11"/>
        <v>6</v>
      </c>
    </row>
    <row r="186" spans="1:16">
      <c r="A186" s="79">
        <v>1185</v>
      </c>
      <c r="B186" s="80" t="s">
        <v>238</v>
      </c>
      <c r="C186" s="81" t="s">
        <v>69</v>
      </c>
      <c r="D186" s="81" t="s">
        <v>72</v>
      </c>
      <c r="E186" s="81" t="s">
        <v>23</v>
      </c>
      <c r="F186" s="81" t="s">
        <v>155</v>
      </c>
      <c r="G186" s="81" t="s">
        <v>156</v>
      </c>
      <c r="H186" s="82">
        <v>1</v>
      </c>
      <c r="I186" s="83">
        <v>1050</v>
      </c>
      <c r="J186" s="84">
        <v>0.08</v>
      </c>
      <c r="K186" s="81" t="s">
        <v>18</v>
      </c>
      <c r="L186" s="81" t="s">
        <v>39</v>
      </c>
      <c r="M186" s="83">
        <f t="shared" si="8"/>
        <v>1050</v>
      </c>
      <c r="N186" s="83">
        <f t="shared" si="9"/>
        <v>84</v>
      </c>
      <c r="O186" s="83">
        <f t="shared" si="10"/>
        <v>966</v>
      </c>
      <c r="P186">
        <f t="shared" si="11"/>
        <v>3</v>
      </c>
    </row>
    <row r="187" spans="1:16">
      <c r="A187" s="73">
        <v>1186</v>
      </c>
      <c r="B187" s="74" t="s">
        <v>35</v>
      </c>
      <c r="C187" s="75" t="s">
        <v>28</v>
      </c>
      <c r="D187" s="75" t="s">
        <v>36</v>
      </c>
      <c r="E187" s="75" t="s">
        <v>41</v>
      </c>
      <c r="F187" s="75" t="s">
        <v>76</v>
      </c>
      <c r="G187" s="75" t="s">
        <v>77</v>
      </c>
      <c r="H187" s="76">
        <v>6</v>
      </c>
      <c r="I187" s="77">
        <v>41673</v>
      </c>
      <c r="J187" s="78">
        <v>0.01</v>
      </c>
      <c r="K187" s="75" t="s">
        <v>18</v>
      </c>
      <c r="L187" s="75" t="s">
        <v>44</v>
      </c>
      <c r="M187" s="77">
        <f t="shared" si="8"/>
        <v>250038</v>
      </c>
      <c r="N187" s="77">
        <f t="shared" si="9"/>
        <v>2500.38</v>
      </c>
      <c r="O187" s="77">
        <f t="shared" si="10"/>
        <v>247537.62</v>
      </c>
      <c r="P187">
        <f t="shared" si="11"/>
        <v>8</v>
      </c>
    </row>
    <row r="188" spans="1:16">
      <c r="A188" s="79">
        <v>1187</v>
      </c>
      <c r="B188" s="80" t="s">
        <v>253</v>
      </c>
      <c r="C188" s="81" t="s">
        <v>21</v>
      </c>
      <c r="D188" s="81" t="s">
        <v>114</v>
      </c>
      <c r="E188" s="81" t="s">
        <v>30</v>
      </c>
      <c r="F188" s="81" t="s">
        <v>61</v>
      </c>
      <c r="G188" s="81" t="s">
        <v>62</v>
      </c>
      <c r="H188" s="82">
        <v>9</v>
      </c>
      <c r="I188" s="83">
        <v>37083</v>
      </c>
      <c r="J188" s="84">
        <v>0.04</v>
      </c>
      <c r="K188" s="81" t="s">
        <v>33</v>
      </c>
      <c r="L188" s="81" t="s">
        <v>103</v>
      </c>
      <c r="M188" s="83">
        <f t="shared" si="8"/>
        <v>333747</v>
      </c>
      <c r="N188" s="83">
        <f t="shared" si="9"/>
        <v>13349.880000000001</v>
      </c>
      <c r="O188" s="83">
        <f t="shared" si="10"/>
        <v>320397.12</v>
      </c>
      <c r="P188">
        <f t="shared" si="11"/>
        <v>3</v>
      </c>
    </row>
    <row r="189" spans="1:16">
      <c r="A189" s="73">
        <v>1188</v>
      </c>
      <c r="B189" s="74" t="s">
        <v>20</v>
      </c>
      <c r="C189" s="75" t="s">
        <v>13</v>
      </c>
      <c r="D189" s="75" t="s">
        <v>82</v>
      </c>
      <c r="E189" s="75" t="s">
        <v>15</v>
      </c>
      <c r="F189" s="75" t="s">
        <v>50</v>
      </c>
      <c r="G189" s="75" t="s">
        <v>126</v>
      </c>
      <c r="H189" s="76">
        <v>6</v>
      </c>
      <c r="I189" s="77">
        <v>20936</v>
      </c>
      <c r="J189" s="78">
        <v>7.0000000000000007E-2</v>
      </c>
      <c r="K189" s="75" t="s">
        <v>18</v>
      </c>
      <c r="L189" s="75" t="s">
        <v>73</v>
      </c>
      <c r="M189" s="77">
        <f t="shared" si="8"/>
        <v>125616</v>
      </c>
      <c r="N189" s="77">
        <f t="shared" si="9"/>
        <v>8793.1200000000008</v>
      </c>
      <c r="O189" s="77">
        <f t="shared" si="10"/>
        <v>116822.88</v>
      </c>
      <c r="P189">
        <f t="shared" si="11"/>
        <v>6</v>
      </c>
    </row>
    <row r="190" spans="1:16">
      <c r="A190" s="79">
        <v>1189</v>
      </c>
      <c r="B190" s="80" t="s">
        <v>254</v>
      </c>
      <c r="C190" s="81" t="s">
        <v>28</v>
      </c>
      <c r="D190" s="81" t="s">
        <v>29</v>
      </c>
      <c r="E190" s="81" t="s">
        <v>23</v>
      </c>
      <c r="F190" s="81" t="s">
        <v>24</v>
      </c>
      <c r="G190" s="81" t="s">
        <v>25</v>
      </c>
      <c r="H190" s="82">
        <v>1</v>
      </c>
      <c r="I190" s="83">
        <v>676</v>
      </c>
      <c r="J190" s="84">
        <v>0</v>
      </c>
      <c r="K190" s="81" t="s">
        <v>18</v>
      </c>
      <c r="L190" s="81" t="s">
        <v>44</v>
      </c>
      <c r="M190" s="83">
        <f t="shared" si="8"/>
        <v>676</v>
      </c>
      <c r="N190" s="83">
        <f t="shared" si="9"/>
        <v>0</v>
      </c>
      <c r="O190" s="83">
        <f t="shared" si="10"/>
        <v>676</v>
      </c>
      <c r="P190">
        <f t="shared" si="11"/>
        <v>12</v>
      </c>
    </row>
    <row r="191" spans="1:16">
      <c r="A191" s="73">
        <v>1190</v>
      </c>
      <c r="B191" s="74" t="s">
        <v>195</v>
      </c>
      <c r="C191" s="75" t="s">
        <v>69</v>
      </c>
      <c r="D191" s="75" t="s">
        <v>75</v>
      </c>
      <c r="E191" s="75" t="s">
        <v>30</v>
      </c>
      <c r="F191" s="75" t="s">
        <v>66</v>
      </c>
      <c r="G191" s="75" t="s">
        <v>142</v>
      </c>
      <c r="H191" s="76">
        <v>2</v>
      </c>
      <c r="I191" s="77">
        <v>47109</v>
      </c>
      <c r="J191" s="78">
        <v>0.15</v>
      </c>
      <c r="K191" s="75" t="s">
        <v>18</v>
      </c>
      <c r="L191" s="75" t="s">
        <v>103</v>
      </c>
      <c r="M191" s="77">
        <f t="shared" si="8"/>
        <v>94218</v>
      </c>
      <c r="N191" s="77">
        <f t="shared" si="9"/>
        <v>14132.699999999999</v>
      </c>
      <c r="O191" s="77">
        <f t="shared" si="10"/>
        <v>80085.3</v>
      </c>
      <c r="P191">
        <f t="shared" si="11"/>
        <v>10</v>
      </c>
    </row>
    <row r="192" spans="1:16">
      <c r="A192" s="79">
        <v>1191</v>
      </c>
      <c r="B192" s="80" t="s">
        <v>255</v>
      </c>
      <c r="C192" s="81" t="s">
        <v>13</v>
      </c>
      <c r="D192" s="81" t="s">
        <v>141</v>
      </c>
      <c r="E192" s="81" t="s">
        <v>41</v>
      </c>
      <c r="F192" s="81" t="s">
        <v>47</v>
      </c>
      <c r="G192" s="81" t="s">
        <v>129</v>
      </c>
      <c r="H192" s="82">
        <v>7</v>
      </c>
      <c r="I192" s="83">
        <v>17133</v>
      </c>
      <c r="J192" s="84">
        <v>0.06</v>
      </c>
      <c r="K192" s="81" t="s">
        <v>18</v>
      </c>
      <c r="L192" s="81" t="s">
        <v>39</v>
      </c>
      <c r="M192" s="83">
        <f t="shared" si="8"/>
        <v>119931</v>
      </c>
      <c r="N192" s="83">
        <f t="shared" si="9"/>
        <v>7195.86</v>
      </c>
      <c r="O192" s="83">
        <f t="shared" si="10"/>
        <v>112735.14</v>
      </c>
      <c r="P192">
        <f t="shared" si="11"/>
        <v>2</v>
      </c>
    </row>
    <row r="193" spans="1:16">
      <c r="A193" s="73">
        <v>1192</v>
      </c>
      <c r="B193" s="74" t="s">
        <v>191</v>
      </c>
      <c r="C193" s="75" t="s">
        <v>69</v>
      </c>
      <c r="D193" s="75" t="s">
        <v>75</v>
      </c>
      <c r="E193" s="75" t="s">
        <v>23</v>
      </c>
      <c r="F193" s="75" t="s">
        <v>24</v>
      </c>
      <c r="G193" s="75" t="s">
        <v>98</v>
      </c>
      <c r="H193" s="76">
        <v>5</v>
      </c>
      <c r="I193" s="77">
        <v>17004</v>
      </c>
      <c r="J193" s="78">
        <v>0.05</v>
      </c>
      <c r="K193" s="75" t="s">
        <v>18</v>
      </c>
      <c r="L193" s="75" t="s">
        <v>73</v>
      </c>
      <c r="M193" s="77">
        <f t="shared" si="8"/>
        <v>85020</v>
      </c>
      <c r="N193" s="77">
        <f t="shared" si="9"/>
        <v>4251</v>
      </c>
      <c r="O193" s="77">
        <f t="shared" si="10"/>
        <v>80769</v>
      </c>
      <c r="P193">
        <f t="shared" si="11"/>
        <v>6</v>
      </c>
    </row>
    <row r="194" spans="1:16">
      <c r="A194" s="79">
        <v>1193</v>
      </c>
      <c r="B194" s="80" t="s">
        <v>256</v>
      </c>
      <c r="C194" s="81" t="s">
        <v>69</v>
      </c>
      <c r="D194" s="81" t="s">
        <v>72</v>
      </c>
      <c r="E194" s="81" t="s">
        <v>41</v>
      </c>
      <c r="F194" s="81" t="s">
        <v>76</v>
      </c>
      <c r="G194" s="81" t="s">
        <v>106</v>
      </c>
      <c r="H194" s="82">
        <v>8</v>
      </c>
      <c r="I194" s="83">
        <v>39371</v>
      </c>
      <c r="J194" s="84">
        <v>0.18</v>
      </c>
      <c r="K194" s="81" t="s">
        <v>33</v>
      </c>
      <c r="L194" s="81" t="s">
        <v>63</v>
      </c>
      <c r="M194" s="83">
        <f t="shared" si="8"/>
        <v>314968</v>
      </c>
      <c r="N194" s="83">
        <f t="shared" si="9"/>
        <v>56694.239999999998</v>
      </c>
      <c r="O194" s="83">
        <f t="shared" si="10"/>
        <v>258273.76</v>
      </c>
      <c r="P194">
        <f t="shared" si="11"/>
        <v>7</v>
      </c>
    </row>
    <row r="195" spans="1:16">
      <c r="A195" s="73">
        <v>1194</v>
      </c>
      <c r="B195" s="74" t="s">
        <v>119</v>
      </c>
      <c r="C195" s="75" t="s">
        <v>69</v>
      </c>
      <c r="D195" s="75" t="s">
        <v>72</v>
      </c>
      <c r="E195" s="75" t="s">
        <v>23</v>
      </c>
      <c r="F195" s="75" t="s">
        <v>155</v>
      </c>
      <c r="G195" s="75" t="s">
        <v>193</v>
      </c>
      <c r="H195" s="76">
        <v>1</v>
      </c>
      <c r="I195" s="77">
        <v>29158</v>
      </c>
      <c r="J195" s="78">
        <v>0.11</v>
      </c>
      <c r="K195" s="75" t="s">
        <v>33</v>
      </c>
      <c r="L195" s="75" t="s">
        <v>34</v>
      </c>
      <c r="M195" s="77">
        <f t="shared" ref="M195:M201" si="12">H195*I195</f>
        <v>29158</v>
      </c>
      <c r="N195" s="77">
        <f t="shared" ref="N195:N201" si="13">M195*J195</f>
        <v>3207.38</v>
      </c>
      <c r="O195" s="77">
        <f t="shared" ref="O195:O201" si="14">M195-N195</f>
        <v>25950.62</v>
      </c>
      <c r="P195">
        <f t="shared" ref="P195:P201" si="15">MONTH(B195)</f>
        <v>5</v>
      </c>
    </row>
    <row r="196" spans="1:16">
      <c r="A196" s="79">
        <v>1195</v>
      </c>
      <c r="B196" s="80" t="s">
        <v>257</v>
      </c>
      <c r="C196" s="81" t="s">
        <v>13</v>
      </c>
      <c r="D196" s="81" t="s">
        <v>93</v>
      </c>
      <c r="E196" s="81" t="s">
        <v>41</v>
      </c>
      <c r="F196" s="81" t="s">
        <v>115</v>
      </c>
      <c r="G196" s="81" t="s">
        <v>116</v>
      </c>
      <c r="H196" s="82">
        <v>3</v>
      </c>
      <c r="I196" s="83">
        <v>3114</v>
      </c>
      <c r="J196" s="84">
        <v>0.15</v>
      </c>
      <c r="K196" s="81" t="s">
        <v>33</v>
      </c>
      <c r="L196" s="81" t="s">
        <v>73</v>
      </c>
      <c r="M196" s="83">
        <f t="shared" si="12"/>
        <v>9342</v>
      </c>
      <c r="N196" s="83">
        <f t="shared" si="13"/>
        <v>1401.3</v>
      </c>
      <c r="O196" s="83">
        <f t="shared" si="14"/>
        <v>7940.7</v>
      </c>
      <c r="P196">
        <f t="shared" si="15"/>
        <v>6</v>
      </c>
    </row>
    <row r="197" spans="1:16">
      <c r="A197" s="73">
        <v>1196</v>
      </c>
      <c r="B197" s="74" t="s">
        <v>258</v>
      </c>
      <c r="C197" s="75" t="s">
        <v>21</v>
      </c>
      <c r="D197" s="75" t="s">
        <v>60</v>
      </c>
      <c r="E197" s="75" t="s">
        <v>30</v>
      </c>
      <c r="F197" s="75" t="s">
        <v>66</v>
      </c>
      <c r="G197" s="75" t="s">
        <v>142</v>
      </c>
      <c r="H197" s="76">
        <v>10</v>
      </c>
      <c r="I197" s="77">
        <v>26511</v>
      </c>
      <c r="J197" s="78">
        <v>0.05</v>
      </c>
      <c r="K197" s="75" t="s">
        <v>18</v>
      </c>
      <c r="L197" s="75" t="s">
        <v>73</v>
      </c>
      <c r="M197" s="77">
        <f t="shared" si="12"/>
        <v>265110</v>
      </c>
      <c r="N197" s="77">
        <f t="shared" si="13"/>
        <v>13255.5</v>
      </c>
      <c r="O197" s="77">
        <f t="shared" si="14"/>
        <v>251854.5</v>
      </c>
      <c r="P197">
        <f t="shared" si="15"/>
        <v>10</v>
      </c>
    </row>
    <row r="198" spans="1:16">
      <c r="A198" s="79">
        <v>1197</v>
      </c>
      <c r="B198" s="80" t="s">
        <v>259</v>
      </c>
      <c r="C198" s="81" t="s">
        <v>28</v>
      </c>
      <c r="D198" s="81" t="s">
        <v>58</v>
      </c>
      <c r="E198" s="81" t="s">
        <v>41</v>
      </c>
      <c r="F198" s="81" t="s">
        <v>47</v>
      </c>
      <c r="G198" s="81" t="s">
        <v>135</v>
      </c>
      <c r="H198" s="82">
        <v>8</v>
      </c>
      <c r="I198" s="83">
        <v>44501</v>
      </c>
      <c r="J198" s="84">
        <v>0.19</v>
      </c>
      <c r="K198" s="81" t="s">
        <v>18</v>
      </c>
      <c r="L198" s="81" t="s">
        <v>103</v>
      </c>
      <c r="M198" s="83">
        <f t="shared" si="12"/>
        <v>356008</v>
      </c>
      <c r="N198" s="83">
        <f t="shared" si="13"/>
        <v>67641.52</v>
      </c>
      <c r="O198" s="83">
        <f t="shared" si="14"/>
        <v>288366.48</v>
      </c>
      <c r="P198">
        <f t="shared" si="15"/>
        <v>11</v>
      </c>
    </row>
    <row r="199" spans="1:16">
      <c r="A199" s="73">
        <v>1198</v>
      </c>
      <c r="B199" s="74" t="s">
        <v>260</v>
      </c>
      <c r="C199" s="75" t="s">
        <v>28</v>
      </c>
      <c r="D199" s="75" t="s">
        <v>58</v>
      </c>
      <c r="E199" s="75" t="s">
        <v>41</v>
      </c>
      <c r="F199" s="75" t="s">
        <v>47</v>
      </c>
      <c r="G199" s="75" t="s">
        <v>135</v>
      </c>
      <c r="H199" s="76">
        <v>4</v>
      </c>
      <c r="I199" s="77">
        <v>14660</v>
      </c>
      <c r="J199" s="78">
        <v>0.04</v>
      </c>
      <c r="K199" s="75" t="s">
        <v>33</v>
      </c>
      <c r="L199" s="75" t="s">
        <v>73</v>
      </c>
      <c r="M199" s="77">
        <f t="shared" si="12"/>
        <v>58640</v>
      </c>
      <c r="N199" s="77">
        <f t="shared" si="13"/>
        <v>2345.6</v>
      </c>
      <c r="O199" s="77">
        <f t="shared" si="14"/>
        <v>56294.400000000001</v>
      </c>
      <c r="P199">
        <f t="shared" si="15"/>
        <v>8</v>
      </c>
    </row>
    <row r="200" spans="1:16">
      <c r="A200" s="79">
        <v>1199</v>
      </c>
      <c r="B200" s="80" t="s">
        <v>261</v>
      </c>
      <c r="C200" s="81" t="s">
        <v>69</v>
      </c>
      <c r="D200" s="81" t="s">
        <v>111</v>
      </c>
      <c r="E200" s="81" t="s">
        <v>15</v>
      </c>
      <c r="F200" s="81" t="s">
        <v>16</v>
      </c>
      <c r="G200" s="81" t="s">
        <v>17</v>
      </c>
      <c r="H200" s="82">
        <v>5</v>
      </c>
      <c r="I200" s="83">
        <v>21924</v>
      </c>
      <c r="J200" s="84">
        <v>0.17</v>
      </c>
      <c r="K200" s="81" t="s">
        <v>18</v>
      </c>
      <c r="L200" s="81" t="s">
        <v>34</v>
      </c>
      <c r="M200" s="83">
        <f t="shared" si="12"/>
        <v>109620</v>
      </c>
      <c r="N200" s="83">
        <f t="shared" si="13"/>
        <v>18635.400000000001</v>
      </c>
      <c r="O200" s="83">
        <f t="shared" si="14"/>
        <v>90984.6</v>
      </c>
      <c r="P200">
        <f t="shared" si="15"/>
        <v>5</v>
      </c>
    </row>
    <row r="201" spans="1:16">
      <c r="A201" s="73">
        <v>1200</v>
      </c>
      <c r="B201" s="74" t="s">
        <v>262</v>
      </c>
      <c r="C201" s="75" t="s">
        <v>69</v>
      </c>
      <c r="D201" s="75" t="s">
        <v>75</v>
      </c>
      <c r="E201" s="75" t="s">
        <v>41</v>
      </c>
      <c r="F201" s="75" t="s">
        <v>47</v>
      </c>
      <c r="G201" s="75" t="s">
        <v>48</v>
      </c>
      <c r="H201" s="76">
        <v>7</v>
      </c>
      <c r="I201" s="77">
        <v>43886</v>
      </c>
      <c r="J201" s="78">
        <v>7.0000000000000007E-2</v>
      </c>
      <c r="K201" s="75" t="s">
        <v>33</v>
      </c>
      <c r="L201" s="75" t="s">
        <v>103</v>
      </c>
      <c r="M201" s="77">
        <f t="shared" si="12"/>
        <v>307202</v>
      </c>
      <c r="N201" s="77">
        <f t="shared" si="13"/>
        <v>21504.140000000003</v>
      </c>
      <c r="O201" s="77">
        <f t="shared" si="14"/>
        <v>285697.86</v>
      </c>
      <c r="P201">
        <f t="shared" si="15"/>
        <v>8</v>
      </c>
    </row>
  </sheetData>
  <conditionalFormatting sqref="L1:L1048576">
    <cfRule type="top10" dxfId="1" priority="4" rank="10"/>
  </conditionalFormatting>
  <conditionalFormatting sqref="O1:O1048576 P1">
    <cfRule type="top10" dxfId="0" priority="1" percent="1" rank="10"/>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B337C-56FD-4F49-AEBC-9F643A75030F}">
  <dimension ref="A4:R291"/>
  <sheetViews>
    <sheetView topLeftCell="A226" zoomScale="71" workbookViewId="0">
      <selection activeCell="B78" sqref="B78"/>
    </sheetView>
  </sheetViews>
  <sheetFormatPr defaultRowHeight="14.4"/>
  <cols>
    <col min="1" max="1" width="12.5546875" bestFit="1" customWidth="1"/>
    <col min="2" max="2" width="13.77734375" bestFit="1" customWidth="1"/>
    <col min="3" max="3" width="25.109375" bestFit="1" customWidth="1"/>
    <col min="4" max="4" width="18.21875" bestFit="1" customWidth="1"/>
    <col min="5" max="5" width="11.44140625" bestFit="1" customWidth="1"/>
    <col min="6" max="6" width="24.77734375" bestFit="1" customWidth="1"/>
    <col min="7" max="7" width="18.109375" bestFit="1" customWidth="1"/>
  </cols>
  <sheetData>
    <row r="4" spans="1:17" ht="18">
      <c r="G4" s="91" t="s">
        <v>299</v>
      </c>
      <c r="H4" s="92"/>
      <c r="I4" s="92"/>
      <c r="J4" s="92"/>
      <c r="K4" s="92"/>
      <c r="L4" s="92"/>
      <c r="M4" s="92"/>
      <c r="N4" s="92"/>
      <c r="O4" s="92"/>
      <c r="P4" s="92"/>
      <c r="Q4" s="93"/>
    </row>
    <row r="5" spans="1:17" ht="18">
      <c r="A5" s="88" t="s">
        <v>298</v>
      </c>
      <c r="B5" s="89"/>
      <c r="C5" s="89"/>
      <c r="D5" s="89"/>
      <c r="E5" s="90"/>
      <c r="G5" s="15"/>
      <c r="Q5" s="16"/>
    </row>
    <row r="6" spans="1:17">
      <c r="A6" s="15"/>
      <c r="E6" s="16"/>
      <c r="G6" s="15"/>
      <c r="Q6" s="16"/>
    </row>
    <row r="7" spans="1:17">
      <c r="A7" s="15"/>
      <c r="E7" s="16"/>
      <c r="G7" s="15"/>
      <c r="Q7" s="16"/>
    </row>
    <row r="8" spans="1:17">
      <c r="A8" s="15"/>
      <c r="B8" s="26" t="s">
        <v>294</v>
      </c>
      <c r="C8" s="31" t="s">
        <v>297</v>
      </c>
      <c r="D8" s="32" t="s">
        <v>296</v>
      </c>
      <c r="E8" s="16"/>
      <c r="G8" s="15"/>
      <c r="Q8" s="16"/>
    </row>
    <row r="9" spans="1:17">
      <c r="A9" s="15"/>
      <c r="B9" s="27" t="s">
        <v>13</v>
      </c>
      <c r="C9" s="34">
        <v>4334263.3499999996</v>
      </c>
      <c r="D9" s="25">
        <v>223</v>
      </c>
      <c r="E9" s="16"/>
      <c r="G9" s="15"/>
      <c r="Q9" s="16"/>
    </row>
    <row r="10" spans="1:17">
      <c r="A10" s="15"/>
      <c r="B10" s="28" t="s">
        <v>21</v>
      </c>
      <c r="C10" s="35">
        <v>6708061.6499999994</v>
      </c>
      <c r="D10" s="23">
        <v>292</v>
      </c>
      <c r="E10" s="16"/>
      <c r="G10" s="15"/>
      <c r="Q10" s="16"/>
    </row>
    <row r="11" spans="1:17">
      <c r="A11" s="15"/>
      <c r="B11" s="28" t="s">
        <v>28</v>
      </c>
      <c r="C11" s="35">
        <v>6205315.25</v>
      </c>
      <c r="D11" s="23">
        <v>295</v>
      </c>
      <c r="E11" s="16"/>
      <c r="G11" s="15"/>
      <c r="Q11" s="16"/>
    </row>
    <row r="12" spans="1:17">
      <c r="A12" s="15"/>
      <c r="B12" s="29" t="s">
        <v>69</v>
      </c>
      <c r="C12" s="35">
        <v>6757341.2699999986</v>
      </c>
      <c r="D12" s="23">
        <v>292</v>
      </c>
      <c r="E12" s="16"/>
      <c r="G12" s="15"/>
      <c r="Q12" s="16"/>
    </row>
    <row r="13" spans="1:17">
      <c r="A13" s="15"/>
      <c r="B13" s="30" t="s">
        <v>295</v>
      </c>
      <c r="C13" s="33">
        <v>24004981.52</v>
      </c>
      <c r="D13" s="24">
        <v>1102</v>
      </c>
      <c r="E13" s="16"/>
      <c r="G13" s="15"/>
      <c r="Q13" s="16"/>
    </row>
    <row r="14" spans="1:17">
      <c r="A14" s="15"/>
      <c r="E14" s="16"/>
      <c r="G14" s="15"/>
      <c r="Q14" s="16"/>
    </row>
    <row r="15" spans="1:17">
      <c r="A15" s="17"/>
      <c r="B15" s="18"/>
      <c r="C15" s="18"/>
      <c r="D15" s="18"/>
      <c r="E15" s="19"/>
      <c r="G15" s="15"/>
      <c r="Q15" s="16"/>
    </row>
    <row r="16" spans="1:17">
      <c r="G16" s="15"/>
      <c r="Q16" s="16"/>
    </row>
    <row r="17" spans="1:17">
      <c r="G17" s="15"/>
      <c r="Q17" s="16"/>
    </row>
    <row r="18" spans="1:17">
      <c r="G18" s="15"/>
      <c r="Q18" s="16"/>
    </row>
    <row r="19" spans="1:17">
      <c r="G19" s="15"/>
      <c r="Q19" s="16"/>
    </row>
    <row r="20" spans="1:17">
      <c r="G20" s="15"/>
      <c r="Q20" s="16"/>
    </row>
    <row r="21" spans="1:17">
      <c r="G21" s="17"/>
      <c r="H21" s="18"/>
      <c r="I21" s="18"/>
      <c r="J21" s="18"/>
      <c r="K21" s="18"/>
      <c r="L21" s="18"/>
      <c r="M21" s="18"/>
      <c r="N21" s="18"/>
      <c r="O21" s="18"/>
      <c r="P21" s="18"/>
      <c r="Q21" s="19"/>
    </row>
    <row r="23" spans="1:17" ht="18">
      <c r="A23" s="88" t="s">
        <v>300</v>
      </c>
      <c r="B23" s="89"/>
      <c r="C23" s="89"/>
      <c r="D23" s="89"/>
      <c r="E23" s="89"/>
      <c r="F23" s="89"/>
      <c r="G23" s="89"/>
      <c r="H23" s="89"/>
      <c r="I23" s="89"/>
      <c r="J23" s="89"/>
      <c r="K23" s="89"/>
      <c r="L23" s="89"/>
      <c r="M23" s="89"/>
      <c r="N23" s="89"/>
      <c r="O23" s="89"/>
      <c r="P23" s="90"/>
    </row>
    <row r="24" spans="1:17">
      <c r="A24" s="15"/>
      <c r="P24" s="16"/>
    </row>
    <row r="25" spans="1:17">
      <c r="A25" s="15"/>
      <c r="B25" s="26" t="s">
        <v>294</v>
      </c>
      <c r="C25" s="36" t="s">
        <v>297</v>
      </c>
      <c r="E25" s="43" t="s">
        <v>3</v>
      </c>
      <c r="F25" s="42" t="s">
        <v>297</v>
      </c>
      <c r="P25" s="16"/>
    </row>
    <row r="26" spans="1:17">
      <c r="A26" s="15"/>
      <c r="B26" s="27" t="s">
        <v>93</v>
      </c>
      <c r="C26" s="37">
        <v>565601.73</v>
      </c>
      <c r="E26" t="str">
        <f>B26</f>
        <v>Assam</v>
      </c>
      <c r="F26" s="41">
        <f t="shared" ref="F26:F41" si="0">GETPIVOTDATA("Sale_After_Discount",$B$25,"State",E26)</f>
        <v>565601.73</v>
      </c>
      <c r="P26" s="16"/>
    </row>
    <row r="27" spans="1:17">
      <c r="A27" s="15"/>
      <c r="B27" s="28" t="s">
        <v>14</v>
      </c>
      <c r="C27" s="38">
        <v>989185.77999999991</v>
      </c>
      <c r="E27" t="str">
        <f t="shared" ref="E27:E41" si="1">B27</f>
        <v>Bihar</v>
      </c>
      <c r="F27" s="41">
        <f t="shared" si="0"/>
        <v>989185.77999999991</v>
      </c>
      <c r="P27" s="16"/>
    </row>
    <row r="28" spans="1:17">
      <c r="A28" s="15"/>
      <c r="B28" s="28" t="s">
        <v>22</v>
      </c>
      <c r="C28" s="38">
        <v>1709818.94</v>
      </c>
      <c r="E28" t="str">
        <f t="shared" si="1"/>
        <v>Delhi</v>
      </c>
      <c r="F28" s="41">
        <f t="shared" si="0"/>
        <v>1709818.94</v>
      </c>
      <c r="P28" s="16"/>
    </row>
    <row r="29" spans="1:17">
      <c r="A29" s="15"/>
      <c r="B29" s="28" t="s">
        <v>70</v>
      </c>
      <c r="C29" s="38">
        <v>1427349.63</v>
      </c>
      <c r="E29" t="str">
        <f t="shared" si="1"/>
        <v>Goa</v>
      </c>
      <c r="F29" s="41">
        <f t="shared" si="0"/>
        <v>1427349.63</v>
      </c>
      <c r="P29" s="16"/>
    </row>
    <row r="30" spans="1:17">
      <c r="A30" s="15"/>
      <c r="B30" s="28" t="s">
        <v>75</v>
      </c>
      <c r="C30" s="38">
        <v>1254598.33</v>
      </c>
      <c r="E30" t="str">
        <f t="shared" si="1"/>
        <v>Gujarat</v>
      </c>
      <c r="F30" s="41">
        <f t="shared" si="0"/>
        <v>1254598.33</v>
      </c>
      <c r="P30" s="16"/>
    </row>
    <row r="31" spans="1:17">
      <c r="A31" s="15"/>
      <c r="B31" s="28" t="s">
        <v>60</v>
      </c>
      <c r="C31" s="38">
        <v>2522754.8100000005</v>
      </c>
      <c r="E31" t="str">
        <f t="shared" si="1"/>
        <v>Haryana</v>
      </c>
      <c r="F31" s="41">
        <f t="shared" si="0"/>
        <v>2522754.8100000005</v>
      </c>
      <c r="P31" s="16"/>
    </row>
    <row r="32" spans="1:17">
      <c r="A32" s="15"/>
      <c r="B32" s="28" t="s">
        <v>58</v>
      </c>
      <c r="C32" s="38">
        <v>1573671.9899999998</v>
      </c>
      <c r="E32" t="str">
        <f t="shared" si="1"/>
        <v>Karnataka</v>
      </c>
      <c r="F32" s="41">
        <f t="shared" si="0"/>
        <v>1573671.9899999998</v>
      </c>
      <c r="P32" s="16"/>
    </row>
    <row r="33" spans="1:16">
      <c r="A33" s="15"/>
      <c r="B33" s="28" t="s">
        <v>36</v>
      </c>
      <c r="C33" s="38">
        <v>1950815.96</v>
      </c>
      <c r="E33" t="str">
        <f t="shared" si="1"/>
        <v>Kerala</v>
      </c>
      <c r="F33" s="41">
        <f t="shared" si="0"/>
        <v>1950815.96</v>
      </c>
      <c r="P33" s="16"/>
    </row>
    <row r="34" spans="1:16">
      <c r="A34" s="15"/>
      <c r="B34" s="28" t="s">
        <v>111</v>
      </c>
      <c r="C34" s="38">
        <v>2090269.9</v>
      </c>
      <c r="E34" t="str">
        <f t="shared" si="1"/>
        <v>Maharashtra</v>
      </c>
      <c r="F34" s="41">
        <f t="shared" si="0"/>
        <v>2090269.9</v>
      </c>
      <c r="P34" s="16"/>
    </row>
    <row r="35" spans="1:16">
      <c r="A35" s="15"/>
      <c r="B35" s="28" t="s">
        <v>141</v>
      </c>
      <c r="C35" s="38">
        <v>1079236.8299999998</v>
      </c>
      <c r="E35" t="str">
        <f t="shared" si="1"/>
        <v>Odisha</v>
      </c>
      <c r="F35" s="41">
        <f t="shared" si="0"/>
        <v>1079236.8299999998</v>
      </c>
      <c r="P35" s="16"/>
    </row>
    <row r="36" spans="1:16">
      <c r="A36" s="15"/>
      <c r="B36" s="28" t="s">
        <v>80</v>
      </c>
      <c r="C36" s="38">
        <v>1205724.4100000001</v>
      </c>
      <c r="E36" t="str">
        <f t="shared" si="1"/>
        <v>Punjab</v>
      </c>
      <c r="F36" s="41">
        <f t="shared" si="0"/>
        <v>1205724.4100000001</v>
      </c>
      <c r="P36" s="16"/>
    </row>
    <row r="37" spans="1:16">
      <c r="A37" s="15"/>
      <c r="B37" s="28" t="s">
        <v>72</v>
      </c>
      <c r="C37" s="38">
        <v>1985123.41</v>
      </c>
      <c r="E37" t="str">
        <f t="shared" si="1"/>
        <v>Rajasthan</v>
      </c>
      <c r="F37" s="41">
        <f t="shared" si="0"/>
        <v>1985123.41</v>
      </c>
      <c r="P37" s="16"/>
    </row>
    <row r="38" spans="1:16">
      <c r="A38" s="15"/>
      <c r="B38" s="28" t="s">
        <v>29</v>
      </c>
      <c r="C38" s="38">
        <v>1514650.6400000001</v>
      </c>
      <c r="E38" t="str">
        <f t="shared" si="1"/>
        <v>Tamil Nadu</v>
      </c>
      <c r="F38" s="41">
        <f t="shared" si="0"/>
        <v>1514650.6400000001</v>
      </c>
      <c r="P38" s="16"/>
    </row>
    <row r="39" spans="1:16">
      <c r="A39" s="15"/>
      <c r="B39" s="28" t="s">
        <v>46</v>
      </c>
      <c r="C39" s="38">
        <v>1166176.6599999999</v>
      </c>
      <c r="E39" t="str">
        <f t="shared" si="1"/>
        <v>Telangana</v>
      </c>
      <c r="F39" s="41">
        <f t="shared" si="0"/>
        <v>1166176.6599999999</v>
      </c>
      <c r="P39" s="16"/>
    </row>
    <row r="40" spans="1:16">
      <c r="A40" s="15"/>
      <c r="B40" s="28" t="s">
        <v>114</v>
      </c>
      <c r="C40" s="38">
        <v>1269763.49</v>
      </c>
      <c r="E40" t="str">
        <f t="shared" si="1"/>
        <v>UP</v>
      </c>
      <c r="F40" s="41">
        <f t="shared" si="0"/>
        <v>1269763.49</v>
      </c>
      <c r="P40" s="16"/>
    </row>
    <row r="41" spans="1:16">
      <c r="A41" s="15"/>
      <c r="B41" s="29" t="s">
        <v>82</v>
      </c>
      <c r="C41" s="38">
        <v>1700239.0100000002</v>
      </c>
      <c r="E41" t="str">
        <f t="shared" si="1"/>
        <v>West Bengal</v>
      </c>
      <c r="F41" s="41">
        <f t="shared" si="0"/>
        <v>1700239.0100000002</v>
      </c>
      <c r="P41" s="16"/>
    </row>
    <row r="42" spans="1:16">
      <c r="A42" s="15"/>
      <c r="B42" s="30" t="s">
        <v>295</v>
      </c>
      <c r="C42" s="39">
        <v>24004981.520000003</v>
      </c>
      <c r="P42" s="16"/>
    </row>
    <row r="43" spans="1:16">
      <c r="A43" s="15"/>
      <c r="P43" s="16"/>
    </row>
    <row r="44" spans="1:16">
      <c r="A44" s="15"/>
      <c r="P44" s="16"/>
    </row>
    <row r="45" spans="1:16">
      <c r="A45" s="15"/>
      <c r="P45" s="16"/>
    </row>
    <row r="46" spans="1:16">
      <c r="A46" s="15"/>
      <c r="P46" s="16"/>
    </row>
    <row r="47" spans="1:16">
      <c r="A47" s="15"/>
      <c r="P47" s="16"/>
    </row>
    <row r="48" spans="1:16">
      <c r="A48" s="15"/>
      <c r="P48" s="16"/>
    </row>
    <row r="49" spans="1:16">
      <c r="A49" s="15"/>
      <c r="P49" s="16"/>
    </row>
    <row r="50" spans="1:16">
      <c r="A50" s="15"/>
      <c r="P50" s="16"/>
    </row>
    <row r="51" spans="1:16">
      <c r="A51" s="15"/>
      <c r="P51" s="16"/>
    </row>
    <row r="52" spans="1:16">
      <c r="A52" s="15"/>
      <c r="P52" s="16"/>
    </row>
    <row r="53" spans="1:16">
      <c r="A53" s="15"/>
      <c r="P53" s="16"/>
    </row>
    <row r="54" spans="1:16">
      <c r="A54" s="15"/>
      <c r="P54" s="16"/>
    </row>
    <row r="55" spans="1:16">
      <c r="A55" s="15"/>
      <c r="P55" s="16"/>
    </row>
    <row r="56" spans="1:16">
      <c r="A56" s="15"/>
      <c r="P56" s="16"/>
    </row>
    <row r="57" spans="1:16">
      <c r="A57" s="15"/>
      <c r="P57" s="16"/>
    </row>
    <row r="58" spans="1:16">
      <c r="A58" s="15"/>
      <c r="P58" s="16"/>
    </row>
    <row r="59" spans="1:16">
      <c r="A59" s="15"/>
      <c r="P59" s="16"/>
    </row>
    <row r="60" spans="1:16">
      <c r="A60" s="15"/>
      <c r="P60" s="16"/>
    </row>
    <row r="61" spans="1:16">
      <c r="A61" s="15"/>
      <c r="P61" s="16"/>
    </row>
    <row r="62" spans="1:16">
      <c r="A62" s="15"/>
      <c r="P62" s="16"/>
    </row>
    <row r="63" spans="1:16">
      <c r="A63" s="15"/>
      <c r="P63" s="16"/>
    </row>
    <row r="64" spans="1:16">
      <c r="A64" s="15"/>
      <c r="P64" s="16"/>
    </row>
    <row r="65" spans="1:16">
      <c r="A65" s="15"/>
      <c r="P65" s="16"/>
    </row>
    <row r="66" spans="1:16">
      <c r="A66" s="15"/>
      <c r="P66" s="16"/>
    </row>
    <row r="67" spans="1:16">
      <c r="A67" s="15"/>
      <c r="P67" s="16"/>
    </row>
    <row r="68" spans="1:16">
      <c r="A68" s="15"/>
      <c r="P68" s="16"/>
    </row>
    <row r="69" spans="1:16">
      <c r="A69" s="15"/>
      <c r="P69" s="16"/>
    </row>
    <row r="70" spans="1:16">
      <c r="A70" s="17"/>
      <c r="B70" s="18"/>
      <c r="C70" s="18"/>
      <c r="D70" s="18"/>
      <c r="E70" s="18"/>
      <c r="F70" s="18"/>
      <c r="G70" s="18"/>
      <c r="H70" s="18"/>
      <c r="I70" s="18"/>
      <c r="J70" s="18"/>
      <c r="K70" s="18"/>
      <c r="L70" s="18"/>
      <c r="M70" s="18"/>
      <c r="N70" s="18"/>
      <c r="O70" s="18"/>
      <c r="P70" s="19"/>
    </row>
    <row r="73" spans="1:16" ht="18">
      <c r="A73" s="88" t="s">
        <v>269</v>
      </c>
      <c r="B73" s="89"/>
      <c r="C73" s="89"/>
      <c r="D73" s="90"/>
    </row>
    <row r="74" spans="1:16">
      <c r="A74" s="15"/>
      <c r="D74" s="16"/>
    </row>
    <row r="75" spans="1:16">
      <c r="A75" s="15"/>
      <c r="B75" s="26" t="s">
        <v>294</v>
      </c>
      <c r="C75" s="36" t="s">
        <v>297</v>
      </c>
      <c r="D75" s="16"/>
    </row>
    <row r="76" spans="1:16">
      <c r="A76" s="15"/>
      <c r="B76" s="27" t="s">
        <v>60</v>
      </c>
      <c r="C76" s="37">
        <v>2522754.8100000005</v>
      </c>
      <c r="D76" s="16"/>
    </row>
    <row r="77" spans="1:16">
      <c r="A77" s="15"/>
      <c r="B77" s="28" t="s">
        <v>111</v>
      </c>
      <c r="C77" s="38">
        <v>2090269.9</v>
      </c>
      <c r="D77" s="16"/>
    </row>
    <row r="78" spans="1:16">
      <c r="A78" s="15"/>
      <c r="B78" s="28" t="s">
        <v>72</v>
      </c>
      <c r="C78" s="38">
        <v>1985123.41</v>
      </c>
      <c r="D78" s="16"/>
    </row>
    <row r="79" spans="1:16">
      <c r="A79" s="15"/>
      <c r="B79" s="28" t="s">
        <v>36</v>
      </c>
      <c r="C79" s="38">
        <v>1950815.96</v>
      </c>
      <c r="D79" s="16"/>
    </row>
    <row r="80" spans="1:16">
      <c r="A80" s="15"/>
      <c r="B80" s="29" t="s">
        <v>22</v>
      </c>
      <c r="C80" s="38">
        <v>1709818.94</v>
      </c>
      <c r="D80" s="16"/>
    </row>
    <row r="81" spans="1:18">
      <c r="A81" s="15"/>
      <c r="B81" s="30" t="s">
        <v>295</v>
      </c>
      <c r="C81" s="39">
        <v>10258783.02</v>
      </c>
      <c r="D81" s="16"/>
    </row>
    <row r="82" spans="1:18">
      <c r="A82" s="15"/>
      <c r="D82" s="16"/>
    </row>
    <row r="83" spans="1:18">
      <c r="A83" s="15"/>
      <c r="D83" s="16"/>
    </row>
    <row r="84" spans="1:18">
      <c r="A84" s="17"/>
      <c r="B84" s="18"/>
      <c r="C84" s="18"/>
      <c r="D84" s="19"/>
    </row>
    <row r="88" spans="1:18" ht="18">
      <c r="A88" s="49"/>
      <c r="B88" s="49"/>
      <c r="C88" s="49"/>
      <c r="D88" s="49"/>
      <c r="E88" s="49"/>
      <c r="F88" s="49"/>
      <c r="G88" s="50" t="s">
        <v>270</v>
      </c>
      <c r="H88" s="49"/>
      <c r="I88" s="49"/>
      <c r="J88" s="49"/>
      <c r="K88" s="49"/>
      <c r="L88" s="49"/>
      <c r="M88" s="49"/>
      <c r="N88" s="49"/>
      <c r="O88" s="49"/>
      <c r="P88" s="49"/>
      <c r="Q88" s="49"/>
      <c r="R88" s="49"/>
    </row>
    <row r="90" spans="1:18">
      <c r="B90" s="20" t="s">
        <v>294</v>
      </c>
      <c r="C90" s="21" t="s">
        <v>301</v>
      </c>
      <c r="D90" s="14" t="s">
        <v>302</v>
      </c>
      <c r="F90" s="48" t="s">
        <v>301</v>
      </c>
      <c r="G90" s="40" t="s">
        <v>302</v>
      </c>
    </row>
    <row r="91" spans="1:18">
      <c r="B91" s="22">
        <v>1001</v>
      </c>
      <c r="C91" s="34">
        <v>296145</v>
      </c>
      <c r="D91" s="46">
        <v>7.0000000000000007E-2</v>
      </c>
      <c r="F91" s="41">
        <f>GETPIVOTDATA("Sum of Sales",$B$90,"OrderID",B91)</f>
        <v>296145</v>
      </c>
      <c r="G91">
        <f>GETPIVOTDATA("Average of Discount",$B$90,"OrderID",B91)</f>
        <v>7.0000000000000007E-2</v>
      </c>
    </row>
    <row r="92" spans="1:18">
      <c r="B92" s="22">
        <v>1002</v>
      </c>
      <c r="C92" s="35">
        <v>362970</v>
      </c>
      <c r="D92" s="44">
        <v>0.04</v>
      </c>
      <c r="F92" s="41">
        <f t="shared" ref="F92:F155" si="2">GETPIVOTDATA("Sum of Sales",$B$90,"OrderID",B92)</f>
        <v>362970</v>
      </c>
      <c r="G92">
        <f t="shared" ref="G92:G155" si="3">GETPIVOTDATA("Average of Discount",$B$90,"OrderID",B92)</f>
        <v>0.04</v>
      </c>
    </row>
    <row r="93" spans="1:18">
      <c r="B93" s="22">
        <v>1003</v>
      </c>
      <c r="C93" s="35">
        <v>92610</v>
      </c>
      <c r="D93" s="44">
        <v>0.1</v>
      </c>
      <c r="F93" s="41">
        <f t="shared" si="2"/>
        <v>92610</v>
      </c>
      <c r="G93">
        <f t="shared" si="3"/>
        <v>0.1</v>
      </c>
    </row>
    <row r="94" spans="1:18">
      <c r="B94" s="22">
        <v>1004</v>
      </c>
      <c r="C94" s="35">
        <v>261464</v>
      </c>
      <c r="D94" s="44">
        <v>0.03</v>
      </c>
      <c r="F94" s="41">
        <f t="shared" si="2"/>
        <v>261464</v>
      </c>
      <c r="G94">
        <f t="shared" si="3"/>
        <v>0.03</v>
      </c>
    </row>
    <row r="95" spans="1:18">
      <c r="B95" s="22">
        <v>1005</v>
      </c>
      <c r="C95" s="35">
        <v>244056</v>
      </c>
      <c r="D95" s="44">
        <v>0.18</v>
      </c>
      <c r="F95" s="41">
        <f t="shared" si="2"/>
        <v>244056</v>
      </c>
      <c r="G95">
        <f t="shared" si="3"/>
        <v>0.18</v>
      </c>
    </row>
    <row r="96" spans="1:18">
      <c r="B96" s="22">
        <v>1006</v>
      </c>
      <c r="C96" s="35">
        <v>142668</v>
      </c>
      <c r="D96" s="44">
        <v>0.2</v>
      </c>
      <c r="F96" s="41">
        <f t="shared" si="2"/>
        <v>142668</v>
      </c>
      <c r="G96">
        <f t="shared" si="3"/>
        <v>0.2</v>
      </c>
    </row>
    <row r="97" spans="2:7">
      <c r="B97" s="22">
        <v>1007</v>
      </c>
      <c r="C97" s="35">
        <v>81944</v>
      </c>
      <c r="D97" s="44">
        <v>0</v>
      </c>
      <c r="F97" s="41">
        <f t="shared" si="2"/>
        <v>81944</v>
      </c>
      <c r="G97">
        <f t="shared" si="3"/>
        <v>0</v>
      </c>
    </row>
    <row r="98" spans="2:7">
      <c r="B98" s="22">
        <v>1008</v>
      </c>
      <c r="C98" s="35">
        <v>19104</v>
      </c>
      <c r="D98" s="44">
        <v>0.11</v>
      </c>
      <c r="F98" s="41">
        <f t="shared" si="2"/>
        <v>19104</v>
      </c>
      <c r="G98">
        <f t="shared" si="3"/>
        <v>0.11</v>
      </c>
    </row>
    <row r="99" spans="2:7">
      <c r="B99" s="22">
        <v>1009</v>
      </c>
      <c r="C99" s="35">
        <v>75858</v>
      </c>
      <c r="D99" s="44">
        <v>0.04</v>
      </c>
      <c r="F99" s="41">
        <f t="shared" si="2"/>
        <v>75858</v>
      </c>
      <c r="G99">
        <f t="shared" si="3"/>
        <v>0.04</v>
      </c>
    </row>
    <row r="100" spans="2:7">
      <c r="B100" s="22">
        <v>1010</v>
      </c>
      <c r="C100" s="35">
        <v>45849</v>
      </c>
      <c r="D100" s="44">
        <v>0.11</v>
      </c>
      <c r="F100" s="41">
        <f t="shared" si="2"/>
        <v>45849</v>
      </c>
      <c r="G100">
        <f t="shared" si="3"/>
        <v>0.11</v>
      </c>
    </row>
    <row r="101" spans="2:7">
      <c r="B101" s="22">
        <v>1011</v>
      </c>
      <c r="C101" s="35">
        <v>207088</v>
      </c>
      <c r="D101" s="44">
        <v>0.02</v>
      </c>
      <c r="F101" s="41">
        <f t="shared" si="2"/>
        <v>207088</v>
      </c>
      <c r="G101">
        <f t="shared" si="3"/>
        <v>0.02</v>
      </c>
    </row>
    <row r="102" spans="2:7">
      <c r="B102" s="22">
        <v>1012</v>
      </c>
      <c r="C102" s="35">
        <v>13617</v>
      </c>
      <c r="D102" s="44">
        <v>0.18</v>
      </c>
      <c r="F102" s="41">
        <f t="shared" si="2"/>
        <v>13617</v>
      </c>
      <c r="G102">
        <f t="shared" si="3"/>
        <v>0.18</v>
      </c>
    </row>
    <row r="103" spans="2:7">
      <c r="B103" s="22">
        <v>1013</v>
      </c>
      <c r="C103" s="35">
        <v>103761</v>
      </c>
      <c r="D103" s="44">
        <v>0.11</v>
      </c>
      <c r="F103" s="41">
        <f t="shared" si="2"/>
        <v>103761</v>
      </c>
      <c r="G103">
        <f t="shared" si="3"/>
        <v>0.11</v>
      </c>
    </row>
    <row r="104" spans="2:7">
      <c r="B104" s="22">
        <v>1014</v>
      </c>
      <c r="C104" s="35">
        <v>65668</v>
      </c>
      <c r="D104" s="44">
        <v>0.03</v>
      </c>
      <c r="F104" s="41">
        <f t="shared" si="2"/>
        <v>65668</v>
      </c>
      <c r="G104">
        <f t="shared" si="3"/>
        <v>0.03</v>
      </c>
    </row>
    <row r="105" spans="2:7">
      <c r="B105" s="22">
        <v>1015</v>
      </c>
      <c r="C105" s="35">
        <v>26572</v>
      </c>
      <c r="D105" s="44">
        <v>0.02</v>
      </c>
      <c r="F105" s="41">
        <f t="shared" si="2"/>
        <v>26572</v>
      </c>
      <c r="G105">
        <f t="shared" si="3"/>
        <v>0.02</v>
      </c>
    </row>
    <row r="106" spans="2:7">
      <c r="B106" s="22">
        <v>1016</v>
      </c>
      <c r="C106" s="35">
        <v>157992</v>
      </c>
      <c r="D106" s="44">
        <v>0.12</v>
      </c>
      <c r="F106" s="41">
        <f t="shared" si="2"/>
        <v>157992</v>
      </c>
      <c r="G106">
        <f t="shared" si="3"/>
        <v>0.12</v>
      </c>
    </row>
    <row r="107" spans="2:7">
      <c r="B107" s="22">
        <v>1017</v>
      </c>
      <c r="C107" s="35">
        <v>27342</v>
      </c>
      <c r="D107" s="44">
        <v>0.12</v>
      </c>
      <c r="F107" s="41">
        <f t="shared" si="2"/>
        <v>27342</v>
      </c>
      <c r="G107">
        <f t="shared" si="3"/>
        <v>0.12</v>
      </c>
    </row>
    <row r="108" spans="2:7">
      <c r="B108" s="22">
        <v>1018</v>
      </c>
      <c r="C108" s="35">
        <v>410481</v>
      </c>
      <c r="D108" s="44">
        <v>0.04</v>
      </c>
      <c r="F108" s="41">
        <f t="shared" si="2"/>
        <v>410481</v>
      </c>
      <c r="G108">
        <f t="shared" si="3"/>
        <v>0.04</v>
      </c>
    </row>
    <row r="109" spans="2:7">
      <c r="B109" s="22">
        <v>1019</v>
      </c>
      <c r="C109" s="35">
        <v>40050</v>
      </c>
      <c r="D109" s="44">
        <v>0.16</v>
      </c>
      <c r="F109" s="41">
        <f t="shared" si="2"/>
        <v>40050</v>
      </c>
      <c r="G109">
        <f t="shared" si="3"/>
        <v>0.16</v>
      </c>
    </row>
    <row r="110" spans="2:7">
      <c r="B110" s="22">
        <v>1020</v>
      </c>
      <c r="C110" s="35">
        <v>12018</v>
      </c>
      <c r="D110" s="44">
        <v>0.19</v>
      </c>
      <c r="F110" s="41">
        <f t="shared" si="2"/>
        <v>12018</v>
      </c>
      <c r="G110">
        <f t="shared" si="3"/>
        <v>0.19</v>
      </c>
    </row>
    <row r="111" spans="2:7">
      <c r="B111" s="22">
        <v>1021</v>
      </c>
      <c r="C111" s="35">
        <v>63502</v>
      </c>
      <c r="D111" s="44">
        <v>7.0000000000000007E-2</v>
      </c>
      <c r="F111" s="41">
        <f t="shared" si="2"/>
        <v>63502</v>
      </c>
      <c r="G111">
        <f t="shared" si="3"/>
        <v>7.0000000000000007E-2</v>
      </c>
    </row>
    <row r="112" spans="2:7">
      <c r="B112" s="22">
        <v>1022</v>
      </c>
      <c r="C112" s="35">
        <v>40620</v>
      </c>
      <c r="D112" s="44">
        <v>0.12</v>
      </c>
      <c r="F112" s="41">
        <f t="shared" si="2"/>
        <v>40620</v>
      </c>
      <c r="G112">
        <f t="shared" si="3"/>
        <v>0.12</v>
      </c>
    </row>
    <row r="113" spans="2:7">
      <c r="B113" s="22">
        <v>1023</v>
      </c>
      <c r="C113" s="35">
        <v>154266</v>
      </c>
      <c r="D113" s="44">
        <v>0.04</v>
      </c>
      <c r="F113" s="41">
        <f t="shared" si="2"/>
        <v>154266</v>
      </c>
      <c r="G113">
        <f t="shared" si="3"/>
        <v>0.04</v>
      </c>
    </row>
    <row r="114" spans="2:7">
      <c r="B114" s="22">
        <v>1024</v>
      </c>
      <c r="C114" s="35">
        <v>86319</v>
      </c>
      <c r="D114" s="44">
        <v>7.0000000000000007E-2</v>
      </c>
      <c r="F114" s="41">
        <f t="shared" si="2"/>
        <v>86319</v>
      </c>
      <c r="G114">
        <f t="shared" si="3"/>
        <v>7.0000000000000007E-2</v>
      </c>
    </row>
    <row r="115" spans="2:7">
      <c r="B115" s="22">
        <v>1025</v>
      </c>
      <c r="C115" s="35">
        <v>44146</v>
      </c>
      <c r="D115" s="44">
        <v>0.06</v>
      </c>
      <c r="F115" s="41">
        <f t="shared" si="2"/>
        <v>44146</v>
      </c>
      <c r="G115">
        <f t="shared" si="3"/>
        <v>0.06</v>
      </c>
    </row>
    <row r="116" spans="2:7">
      <c r="B116" s="22">
        <v>1026</v>
      </c>
      <c r="C116" s="35">
        <v>16541</v>
      </c>
      <c r="D116" s="44">
        <v>0.14000000000000001</v>
      </c>
      <c r="F116" s="41">
        <f t="shared" si="2"/>
        <v>16541</v>
      </c>
      <c r="G116">
        <f t="shared" si="3"/>
        <v>0.14000000000000001</v>
      </c>
    </row>
    <row r="117" spans="2:7">
      <c r="B117" s="22">
        <v>1027</v>
      </c>
      <c r="C117" s="35">
        <v>257</v>
      </c>
      <c r="D117" s="44">
        <v>0.13</v>
      </c>
      <c r="F117" s="41">
        <f t="shared" si="2"/>
        <v>257</v>
      </c>
      <c r="G117">
        <f t="shared" si="3"/>
        <v>0.13</v>
      </c>
    </row>
    <row r="118" spans="2:7">
      <c r="B118" s="22">
        <v>1028</v>
      </c>
      <c r="C118" s="35">
        <v>271334</v>
      </c>
      <c r="D118" s="44">
        <v>0.2</v>
      </c>
      <c r="F118" s="41">
        <f t="shared" si="2"/>
        <v>271334</v>
      </c>
      <c r="G118">
        <f t="shared" si="3"/>
        <v>0.2</v>
      </c>
    </row>
    <row r="119" spans="2:7">
      <c r="B119" s="22">
        <v>1029</v>
      </c>
      <c r="C119" s="35">
        <v>46950</v>
      </c>
      <c r="D119" s="44">
        <v>0.05</v>
      </c>
      <c r="F119" s="41">
        <f t="shared" si="2"/>
        <v>46950</v>
      </c>
      <c r="G119">
        <f t="shared" si="3"/>
        <v>0.05</v>
      </c>
    </row>
    <row r="120" spans="2:7">
      <c r="B120" s="22">
        <v>1030</v>
      </c>
      <c r="C120" s="35">
        <v>101695</v>
      </c>
      <c r="D120" s="44">
        <v>0.09</v>
      </c>
      <c r="F120" s="41">
        <f t="shared" si="2"/>
        <v>101695</v>
      </c>
      <c r="G120">
        <f t="shared" si="3"/>
        <v>0.09</v>
      </c>
    </row>
    <row r="121" spans="2:7">
      <c r="B121" s="22">
        <v>1031</v>
      </c>
      <c r="C121" s="35">
        <v>227857</v>
      </c>
      <c r="D121" s="44">
        <v>0.05</v>
      </c>
      <c r="F121" s="41">
        <f t="shared" si="2"/>
        <v>227857</v>
      </c>
      <c r="G121">
        <f t="shared" si="3"/>
        <v>0.05</v>
      </c>
    </row>
    <row r="122" spans="2:7">
      <c r="B122" s="22">
        <v>1032</v>
      </c>
      <c r="C122" s="35">
        <v>69055</v>
      </c>
      <c r="D122" s="44">
        <v>0.15</v>
      </c>
      <c r="F122" s="41">
        <f t="shared" si="2"/>
        <v>69055</v>
      </c>
      <c r="G122">
        <f t="shared" si="3"/>
        <v>0.15</v>
      </c>
    </row>
    <row r="123" spans="2:7">
      <c r="B123" s="22">
        <v>1033</v>
      </c>
      <c r="C123" s="35">
        <v>273380</v>
      </c>
      <c r="D123" s="44">
        <v>0.14000000000000001</v>
      </c>
      <c r="F123" s="41">
        <f t="shared" si="2"/>
        <v>273380</v>
      </c>
      <c r="G123">
        <f t="shared" si="3"/>
        <v>0.14000000000000001</v>
      </c>
    </row>
    <row r="124" spans="2:7">
      <c r="B124" s="22">
        <v>1034</v>
      </c>
      <c r="C124" s="35">
        <v>133980</v>
      </c>
      <c r="D124" s="44">
        <v>0.03</v>
      </c>
      <c r="F124" s="41">
        <f t="shared" si="2"/>
        <v>133980</v>
      </c>
      <c r="G124">
        <f t="shared" si="3"/>
        <v>0.03</v>
      </c>
    </row>
    <row r="125" spans="2:7">
      <c r="B125" s="22">
        <v>1035</v>
      </c>
      <c r="C125" s="35">
        <v>213030</v>
      </c>
      <c r="D125" s="44">
        <v>0.04</v>
      </c>
      <c r="F125" s="41">
        <f t="shared" si="2"/>
        <v>213030</v>
      </c>
      <c r="G125">
        <f t="shared" si="3"/>
        <v>0.04</v>
      </c>
    </row>
    <row r="126" spans="2:7">
      <c r="B126" s="22">
        <v>1036</v>
      </c>
      <c r="C126" s="35">
        <v>96996</v>
      </c>
      <c r="D126" s="44">
        <v>0.19</v>
      </c>
      <c r="F126" s="41">
        <f t="shared" si="2"/>
        <v>96996</v>
      </c>
      <c r="G126">
        <f t="shared" si="3"/>
        <v>0.19</v>
      </c>
    </row>
    <row r="127" spans="2:7">
      <c r="B127" s="22">
        <v>1037</v>
      </c>
      <c r="C127" s="35">
        <v>78505</v>
      </c>
      <c r="D127" s="44">
        <v>0.16</v>
      </c>
      <c r="F127" s="41">
        <f t="shared" si="2"/>
        <v>78505</v>
      </c>
      <c r="G127">
        <f t="shared" si="3"/>
        <v>0.16</v>
      </c>
    </row>
    <row r="128" spans="2:7">
      <c r="B128" s="22">
        <v>1038</v>
      </c>
      <c r="C128" s="35">
        <v>348648</v>
      </c>
      <c r="D128" s="44">
        <v>0.1</v>
      </c>
      <c r="F128" s="41">
        <f t="shared" si="2"/>
        <v>348648</v>
      </c>
      <c r="G128">
        <f t="shared" si="3"/>
        <v>0.1</v>
      </c>
    </row>
    <row r="129" spans="2:7">
      <c r="B129" s="22">
        <v>1039</v>
      </c>
      <c r="C129" s="35">
        <v>13098</v>
      </c>
      <c r="D129" s="44">
        <v>0.01</v>
      </c>
      <c r="F129" s="41">
        <f t="shared" si="2"/>
        <v>13098</v>
      </c>
      <c r="G129">
        <f t="shared" si="3"/>
        <v>0.01</v>
      </c>
    </row>
    <row r="130" spans="2:7">
      <c r="B130" s="22">
        <v>1040</v>
      </c>
      <c r="C130" s="35">
        <v>102956</v>
      </c>
      <c r="D130" s="44">
        <v>0.05</v>
      </c>
      <c r="F130" s="41">
        <f t="shared" si="2"/>
        <v>102956</v>
      </c>
      <c r="G130">
        <f t="shared" si="3"/>
        <v>0.05</v>
      </c>
    </row>
    <row r="131" spans="2:7">
      <c r="B131" s="22">
        <v>1041</v>
      </c>
      <c r="C131" s="35">
        <v>112000</v>
      </c>
      <c r="D131" s="44">
        <v>0.08</v>
      </c>
      <c r="F131" s="41">
        <f t="shared" si="2"/>
        <v>112000</v>
      </c>
      <c r="G131">
        <f t="shared" si="3"/>
        <v>0.08</v>
      </c>
    </row>
    <row r="132" spans="2:7">
      <c r="B132" s="22">
        <v>1042</v>
      </c>
      <c r="C132" s="35">
        <v>135248</v>
      </c>
      <c r="D132" s="44">
        <v>7.0000000000000007E-2</v>
      </c>
      <c r="F132" s="41">
        <f t="shared" si="2"/>
        <v>135248</v>
      </c>
      <c r="G132">
        <f t="shared" si="3"/>
        <v>7.0000000000000007E-2</v>
      </c>
    </row>
    <row r="133" spans="2:7">
      <c r="B133" s="22">
        <v>1043</v>
      </c>
      <c r="C133" s="35">
        <v>192474</v>
      </c>
      <c r="D133" s="44">
        <v>0</v>
      </c>
      <c r="F133" s="41">
        <f t="shared" si="2"/>
        <v>192474</v>
      </c>
      <c r="G133">
        <f t="shared" si="3"/>
        <v>0</v>
      </c>
    </row>
    <row r="134" spans="2:7">
      <c r="B134" s="22">
        <v>1044</v>
      </c>
      <c r="C134" s="35">
        <v>125209</v>
      </c>
      <c r="D134" s="44">
        <v>0.12</v>
      </c>
      <c r="F134" s="41">
        <f t="shared" si="2"/>
        <v>125209</v>
      </c>
      <c r="G134">
        <f t="shared" si="3"/>
        <v>0.12</v>
      </c>
    </row>
    <row r="135" spans="2:7">
      <c r="B135" s="22">
        <v>1045</v>
      </c>
      <c r="C135" s="35">
        <v>27770</v>
      </c>
      <c r="D135" s="44">
        <v>0.13</v>
      </c>
      <c r="F135" s="41">
        <f t="shared" si="2"/>
        <v>27770</v>
      </c>
      <c r="G135">
        <f t="shared" si="3"/>
        <v>0.13</v>
      </c>
    </row>
    <row r="136" spans="2:7">
      <c r="B136" s="22">
        <v>1046</v>
      </c>
      <c r="C136" s="35">
        <v>175176</v>
      </c>
      <c r="D136" s="44">
        <v>0.19</v>
      </c>
      <c r="F136" s="41">
        <f t="shared" si="2"/>
        <v>175176</v>
      </c>
      <c r="G136">
        <f t="shared" si="3"/>
        <v>0.19</v>
      </c>
    </row>
    <row r="137" spans="2:7">
      <c r="B137" s="22">
        <v>1047</v>
      </c>
      <c r="C137" s="35">
        <v>174992</v>
      </c>
      <c r="D137" s="44">
        <v>0.06</v>
      </c>
      <c r="F137" s="41">
        <f t="shared" si="2"/>
        <v>174992</v>
      </c>
      <c r="G137">
        <f t="shared" si="3"/>
        <v>0.06</v>
      </c>
    </row>
    <row r="138" spans="2:7">
      <c r="B138" s="22">
        <v>1048</v>
      </c>
      <c r="C138" s="35">
        <v>39846</v>
      </c>
      <c r="D138" s="44">
        <v>0.1</v>
      </c>
      <c r="F138" s="41">
        <f t="shared" si="2"/>
        <v>39846</v>
      </c>
      <c r="G138">
        <f t="shared" si="3"/>
        <v>0.1</v>
      </c>
    </row>
    <row r="139" spans="2:7">
      <c r="B139" s="22">
        <v>1049</v>
      </c>
      <c r="C139" s="35">
        <v>211338</v>
      </c>
      <c r="D139" s="44">
        <v>0.11</v>
      </c>
      <c r="F139" s="41">
        <f t="shared" si="2"/>
        <v>211338</v>
      </c>
      <c r="G139">
        <f t="shared" si="3"/>
        <v>0.11</v>
      </c>
    </row>
    <row r="140" spans="2:7">
      <c r="B140" s="22">
        <v>1050</v>
      </c>
      <c r="C140" s="35">
        <v>25754</v>
      </c>
      <c r="D140" s="44">
        <v>0</v>
      </c>
      <c r="F140" s="41">
        <f t="shared" si="2"/>
        <v>25754</v>
      </c>
      <c r="G140">
        <f t="shared" si="3"/>
        <v>0</v>
      </c>
    </row>
    <row r="141" spans="2:7">
      <c r="B141" s="22">
        <v>1051</v>
      </c>
      <c r="C141" s="35">
        <v>39708</v>
      </c>
      <c r="D141" s="44">
        <v>0.08</v>
      </c>
      <c r="F141" s="41">
        <f t="shared" si="2"/>
        <v>39708</v>
      </c>
      <c r="G141">
        <f t="shared" si="3"/>
        <v>0.08</v>
      </c>
    </row>
    <row r="142" spans="2:7">
      <c r="B142" s="22">
        <v>1052</v>
      </c>
      <c r="C142" s="35">
        <v>233880</v>
      </c>
      <c r="D142" s="44">
        <v>0.16</v>
      </c>
      <c r="F142" s="41">
        <f t="shared" si="2"/>
        <v>233880</v>
      </c>
      <c r="G142">
        <f t="shared" si="3"/>
        <v>0.16</v>
      </c>
    </row>
    <row r="143" spans="2:7">
      <c r="B143" s="22">
        <v>1053</v>
      </c>
      <c r="C143" s="35">
        <v>93542</v>
      </c>
      <c r="D143" s="44">
        <v>0.02</v>
      </c>
      <c r="F143" s="41">
        <f t="shared" si="2"/>
        <v>93542</v>
      </c>
      <c r="G143">
        <f t="shared" si="3"/>
        <v>0.02</v>
      </c>
    </row>
    <row r="144" spans="2:7">
      <c r="B144" s="22">
        <v>1054</v>
      </c>
      <c r="C144" s="35">
        <v>466460</v>
      </c>
      <c r="D144" s="44">
        <v>0.13</v>
      </c>
      <c r="F144" s="41">
        <f t="shared" si="2"/>
        <v>466460</v>
      </c>
      <c r="G144">
        <f t="shared" si="3"/>
        <v>0.13</v>
      </c>
    </row>
    <row r="145" spans="2:7">
      <c r="B145" s="22">
        <v>1055</v>
      </c>
      <c r="C145" s="35">
        <v>69404</v>
      </c>
      <c r="D145" s="44">
        <v>0.15</v>
      </c>
      <c r="F145" s="41">
        <f t="shared" si="2"/>
        <v>69404</v>
      </c>
      <c r="G145">
        <f t="shared" si="3"/>
        <v>0.15</v>
      </c>
    </row>
    <row r="146" spans="2:7">
      <c r="B146" s="22">
        <v>1056</v>
      </c>
      <c r="C146" s="35">
        <v>5677</v>
      </c>
      <c r="D146" s="44">
        <v>0.17</v>
      </c>
      <c r="F146" s="41">
        <f t="shared" si="2"/>
        <v>5677</v>
      </c>
      <c r="G146">
        <f t="shared" si="3"/>
        <v>0.17</v>
      </c>
    </row>
    <row r="147" spans="2:7">
      <c r="B147" s="22">
        <v>1057</v>
      </c>
      <c r="C147" s="35">
        <v>120087</v>
      </c>
      <c r="D147" s="44">
        <v>0.01</v>
      </c>
      <c r="F147" s="41">
        <f t="shared" si="2"/>
        <v>120087</v>
      </c>
      <c r="G147">
        <f t="shared" si="3"/>
        <v>0.01</v>
      </c>
    </row>
    <row r="148" spans="2:7">
      <c r="B148" s="22">
        <v>1058</v>
      </c>
      <c r="C148" s="35">
        <v>100254</v>
      </c>
      <c r="D148" s="44">
        <v>0.19</v>
      </c>
      <c r="F148" s="41">
        <f t="shared" si="2"/>
        <v>100254</v>
      </c>
      <c r="G148">
        <f t="shared" si="3"/>
        <v>0.19</v>
      </c>
    </row>
    <row r="149" spans="2:7">
      <c r="B149" s="22">
        <v>1059</v>
      </c>
      <c r="C149" s="35">
        <v>379720</v>
      </c>
      <c r="D149" s="44">
        <v>0.03</v>
      </c>
      <c r="F149" s="41">
        <f t="shared" si="2"/>
        <v>379720</v>
      </c>
      <c r="G149">
        <f t="shared" si="3"/>
        <v>0.03</v>
      </c>
    </row>
    <row r="150" spans="2:7">
      <c r="B150" s="22">
        <v>1060</v>
      </c>
      <c r="C150" s="35">
        <v>13524</v>
      </c>
      <c r="D150" s="44">
        <v>0.02</v>
      </c>
      <c r="F150" s="41">
        <f t="shared" si="2"/>
        <v>13524</v>
      </c>
      <c r="G150">
        <f t="shared" si="3"/>
        <v>0.02</v>
      </c>
    </row>
    <row r="151" spans="2:7">
      <c r="B151" s="22">
        <v>1061</v>
      </c>
      <c r="C151" s="35">
        <v>129060</v>
      </c>
      <c r="D151" s="44">
        <v>0.05</v>
      </c>
      <c r="F151" s="41">
        <f t="shared" si="2"/>
        <v>129060</v>
      </c>
      <c r="G151">
        <f t="shared" si="3"/>
        <v>0.05</v>
      </c>
    </row>
    <row r="152" spans="2:7">
      <c r="B152" s="22">
        <v>1062</v>
      </c>
      <c r="C152" s="35">
        <v>60417</v>
      </c>
      <c r="D152" s="44">
        <v>0.14000000000000001</v>
      </c>
      <c r="F152" s="41">
        <f t="shared" si="2"/>
        <v>60417</v>
      </c>
      <c r="G152">
        <f t="shared" si="3"/>
        <v>0.14000000000000001</v>
      </c>
    </row>
    <row r="153" spans="2:7">
      <c r="B153" s="22">
        <v>1063</v>
      </c>
      <c r="C153" s="35">
        <v>100540</v>
      </c>
      <c r="D153" s="44">
        <v>0.11</v>
      </c>
      <c r="F153" s="41">
        <f t="shared" si="2"/>
        <v>100540</v>
      </c>
      <c r="G153">
        <f t="shared" si="3"/>
        <v>0.11</v>
      </c>
    </row>
    <row r="154" spans="2:7">
      <c r="B154" s="22">
        <v>1064</v>
      </c>
      <c r="C154" s="35">
        <v>45766</v>
      </c>
      <c r="D154" s="44">
        <v>0</v>
      </c>
      <c r="F154" s="41">
        <f t="shared" si="2"/>
        <v>45766</v>
      </c>
      <c r="G154">
        <f t="shared" si="3"/>
        <v>0</v>
      </c>
    </row>
    <row r="155" spans="2:7">
      <c r="B155" s="22">
        <v>1065</v>
      </c>
      <c r="C155" s="35">
        <v>126075</v>
      </c>
      <c r="D155" s="44">
        <v>7.0000000000000007E-2</v>
      </c>
      <c r="F155" s="41">
        <f t="shared" si="2"/>
        <v>126075</v>
      </c>
      <c r="G155">
        <f t="shared" si="3"/>
        <v>7.0000000000000007E-2</v>
      </c>
    </row>
    <row r="156" spans="2:7">
      <c r="B156" s="22">
        <v>1066</v>
      </c>
      <c r="C156" s="35">
        <v>38321</v>
      </c>
      <c r="D156" s="44">
        <v>0.08</v>
      </c>
      <c r="F156" s="41">
        <f t="shared" ref="F156:F219" si="4">GETPIVOTDATA("Sum of Sales",$B$90,"OrderID",B156)</f>
        <v>38321</v>
      </c>
      <c r="G156">
        <f t="shared" ref="G156:G219" si="5">GETPIVOTDATA("Average of Discount",$B$90,"OrderID",B156)</f>
        <v>0.08</v>
      </c>
    </row>
    <row r="157" spans="2:7">
      <c r="B157" s="22">
        <v>1067</v>
      </c>
      <c r="C157" s="35">
        <v>17539</v>
      </c>
      <c r="D157" s="44">
        <v>0.2</v>
      </c>
      <c r="F157" s="41">
        <f t="shared" si="4"/>
        <v>17539</v>
      </c>
      <c r="G157">
        <f t="shared" si="5"/>
        <v>0.2</v>
      </c>
    </row>
    <row r="158" spans="2:7">
      <c r="B158" s="22">
        <v>1068</v>
      </c>
      <c r="C158" s="35">
        <v>4029</v>
      </c>
      <c r="D158" s="44">
        <v>0.17</v>
      </c>
      <c r="F158" s="41">
        <f t="shared" si="4"/>
        <v>4029</v>
      </c>
      <c r="G158">
        <f t="shared" si="5"/>
        <v>0.17</v>
      </c>
    </row>
    <row r="159" spans="2:7">
      <c r="B159" s="22">
        <v>1069</v>
      </c>
      <c r="C159" s="35">
        <v>49922</v>
      </c>
      <c r="D159" s="44">
        <v>0.02</v>
      </c>
      <c r="F159" s="41">
        <f t="shared" si="4"/>
        <v>49922</v>
      </c>
      <c r="G159">
        <f t="shared" si="5"/>
        <v>0.02</v>
      </c>
    </row>
    <row r="160" spans="2:7">
      <c r="B160" s="22">
        <v>1070</v>
      </c>
      <c r="C160" s="35">
        <v>95661</v>
      </c>
      <c r="D160" s="44">
        <v>0.13</v>
      </c>
      <c r="F160" s="41">
        <f t="shared" si="4"/>
        <v>95661</v>
      </c>
      <c r="G160">
        <f t="shared" si="5"/>
        <v>0.13</v>
      </c>
    </row>
    <row r="161" spans="2:7">
      <c r="B161" s="22">
        <v>1071</v>
      </c>
      <c r="C161" s="35">
        <v>41576</v>
      </c>
      <c r="D161" s="44">
        <v>0.11</v>
      </c>
      <c r="F161" s="41">
        <f t="shared" si="4"/>
        <v>41576</v>
      </c>
      <c r="G161">
        <f t="shared" si="5"/>
        <v>0.11</v>
      </c>
    </row>
    <row r="162" spans="2:7">
      <c r="B162" s="22">
        <v>1072</v>
      </c>
      <c r="C162" s="35">
        <v>67632</v>
      </c>
      <c r="D162" s="44">
        <v>0.12</v>
      </c>
      <c r="F162" s="41">
        <f t="shared" si="4"/>
        <v>67632</v>
      </c>
      <c r="G162">
        <f t="shared" si="5"/>
        <v>0.12</v>
      </c>
    </row>
    <row r="163" spans="2:7">
      <c r="B163" s="22">
        <v>1073</v>
      </c>
      <c r="C163" s="35">
        <v>332073</v>
      </c>
      <c r="D163" s="44">
        <v>0.06</v>
      </c>
      <c r="F163" s="41">
        <f t="shared" si="4"/>
        <v>332073</v>
      </c>
      <c r="G163">
        <f t="shared" si="5"/>
        <v>0.06</v>
      </c>
    </row>
    <row r="164" spans="2:7">
      <c r="B164" s="22">
        <v>1074</v>
      </c>
      <c r="C164" s="35">
        <v>52814</v>
      </c>
      <c r="D164" s="44">
        <v>0.11</v>
      </c>
      <c r="F164" s="41">
        <f t="shared" si="4"/>
        <v>52814</v>
      </c>
      <c r="G164">
        <f t="shared" si="5"/>
        <v>0.11</v>
      </c>
    </row>
    <row r="165" spans="2:7">
      <c r="B165" s="22">
        <v>1075</v>
      </c>
      <c r="C165" s="35">
        <v>6228</v>
      </c>
      <c r="D165" s="44">
        <v>0.12</v>
      </c>
      <c r="F165" s="41">
        <f t="shared" si="4"/>
        <v>6228</v>
      </c>
      <c r="G165">
        <f t="shared" si="5"/>
        <v>0.12</v>
      </c>
    </row>
    <row r="166" spans="2:7">
      <c r="B166" s="22">
        <v>1076</v>
      </c>
      <c r="C166" s="35">
        <v>196120</v>
      </c>
      <c r="D166" s="44">
        <v>0.14000000000000001</v>
      </c>
      <c r="F166" s="41">
        <f t="shared" si="4"/>
        <v>196120</v>
      </c>
      <c r="G166">
        <f t="shared" si="5"/>
        <v>0.14000000000000001</v>
      </c>
    </row>
    <row r="167" spans="2:7">
      <c r="B167" s="22">
        <v>1077</v>
      </c>
      <c r="C167" s="35">
        <v>150930</v>
      </c>
      <c r="D167" s="44">
        <v>0.08</v>
      </c>
      <c r="F167" s="41">
        <f t="shared" si="4"/>
        <v>150930</v>
      </c>
      <c r="G167">
        <f t="shared" si="5"/>
        <v>0.08</v>
      </c>
    </row>
    <row r="168" spans="2:7">
      <c r="B168" s="22">
        <v>1078</v>
      </c>
      <c r="C168" s="35">
        <v>99792</v>
      </c>
      <c r="D168" s="44">
        <v>0.14000000000000001</v>
      </c>
      <c r="F168" s="41">
        <f t="shared" si="4"/>
        <v>99792</v>
      </c>
      <c r="G168">
        <f t="shared" si="5"/>
        <v>0.14000000000000001</v>
      </c>
    </row>
    <row r="169" spans="2:7">
      <c r="B169" s="22">
        <v>1079</v>
      </c>
      <c r="C169" s="35">
        <v>107160</v>
      </c>
      <c r="D169" s="44">
        <v>0.1</v>
      </c>
      <c r="F169" s="41">
        <f t="shared" si="4"/>
        <v>107160</v>
      </c>
      <c r="G169">
        <f t="shared" si="5"/>
        <v>0.1</v>
      </c>
    </row>
    <row r="170" spans="2:7">
      <c r="B170" s="22">
        <v>1080</v>
      </c>
      <c r="C170" s="35">
        <v>292012</v>
      </c>
      <c r="D170" s="44">
        <v>0.16</v>
      </c>
      <c r="F170" s="41">
        <f t="shared" si="4"/>
        <v>292012</v>
      </c>
      <c r="G170">
        <f t="shared" si="5"/>
        <v>0.16</v>
      </c>
    </row>
    <row r="171" spans="2:7">
      <c r="B171" s="22">
        <v>1081</v>
      </c>
      <c r="C171" s="35">
        <v>268668</v>
      </c>
      <c r="D171" s="44">
        <v>0.11</v>
      </c>
      <c r="F171" s="41">
        <f t="shared" si="4"/>
        <v>268668</v>
      </c>
      <c r="G171">
        <f t="shared" si="5"/>
        <v>0.11</v>
      </c>
    </row>
    <row r="172" spans="2:7">
      <c r="B172" s="22">
        <v>1082</v>
      </c>
      <c r="C172" s="35">
        <v>389322</v>
      </c>
      <c r="D172" s="44">
        <v>0.02</v>
      </c>
      <c r="F172" s="41">
        <f t="shared" si="4"/>
        <v>389322</v>
      </c>
      <c r="G172">
        <f t="shared" si="5"/>
        <v>0.02</v>
      </c>
    </row>
    <row r="173" spans="2:7">
      <c r="B173" s="22">
        <v>1083</v>
      </c>
      <c r="C173" s="35">
        <v>212445</v>
      </c>
      <c r="D173" s="44">
        <v>0.03</v>
      </c>
      <c r="F173" s="41">
        <f t="shared" si="4"/>
        <v>212445</v>
      </c>
      <c r="G173">
        <f t="shared" si="5"/>
        <v>0.03</v>
      </c>
    </row>
    <row r="174" spans="2:7">
      <c r="B174" s="22">
        <v>1084</v>
      </c>
      <c r="C174" s="35">
        <v>273010</v>
      </c>
      <c r="D174" s="44">
        <v>0.15</v>
      </c>
      <c r="F174" s="41">
        <f t="shared" si="4"/>
        <v>273010</v>
      </c>
      <c r="G174">
        <f t="shared" si="5"/>
        <v>0.15</v>
      </c>
    </row>
    <row r="175" spans="2:7">
      <c r="B175" s="22">
        <v>1085</v>
      </c>
      <c r="C175" s="35">
        <v>113472</v>
      </c>
      <c r="D175" s="44">
        <v>0.06</v>
      </c>
      <c r="F175" s="41">
        <f t="shared" si="4"/>
        <v>113472</v>
      </c>
      <c r="G175">
        <f t="shared" si="5"/>
        <v>0.06</v>
      </c>
    </row>
    <row r="176" spans="2:7">
      <c r="B176" s="22">
        <v>1086</v>
      </c>
      <c r="C176" s="35">
        <v>167952</v>
      </c>
      <c r="D176" s="44">
        <v>0.12</v>
      </c>
      <c r="F176" s="41">
        <f t="shared" si="4"/>
        <v>167952</v>
      </c>
      <c r="G176">
        <f t="shared" si="5"/>
        <v>0.12</v>
      </c>
    </row>
    <row r="177" spans="2:7">
      <c r="B177" s="22">
        <v>1087</v>
      </c>
      <c r="C177" s="35">
        <v>90080</v>
      </c>
      <c r="D177" s="44">
        <v>7.0000000000000007E-2</v>
      </c>
      <c r="F177" s="41">
        <f t="shared" si="4"/>
        <v>90080</v>
      </c>
      <c r="G177">
        <f t="shared" si="5"/>
        <v>7.0000000000000007E-2</v>
      </c>
    </row>
    <row r="178" spans="2:7">
      <c r="B178" s="22">
        <v>1088</v>
      </c>
      <c r="C178" s="35">
        <v>91888</v>
      </c>
      <c r="D178" s="44">
        <v>0.17</v>
      </c>
      <c r="F178" s="41">
        <f t="shared" si="4"/>
        <v>91888</v>
      </c>
      <c r="G178">
        <f t="shared" si="5"/>
        <v>0.17</v>
      </c>
    </row>
    <row r="179" spans="2:7">
      <c r="B179" s="22">
        <v>1089</v>
      </c>
      <c r="C179" s="35">
        <v>271848</v>
      </c>
      <c r="D179" s="44">
        <v>0.13</v>
      </c>
      <c r="F179" s="41">
        <f t="shared" si="4"/>
        <v>271848</v>
      </c>
      <c r="G179">
        <f t="shared" si="5"/>
        <v>0.13</v>
      </c>
    </row>
    <row r="180" spans="2:7">
      <c r="B180" s="22">
        <v>1090</v>
      </c>
      <c r="C180" s="35">
        <v>214776</v>
      </c>
      <c r="D180" s="44">
        <v>0.01</v>
      </c>
      <c r="F180" s="41">
        <f t="shared" si="4"/>
        <v>214776</v>
      </c>
      <c r="G180">
        <f t="shared" si="5"/>
        <v>0.01</v>
      </c>
    </row>
    <row r="181" spans="2:7">
      <c r="B181" s="22">
        <v>1091</v>
      </c>
      <c r="C181" s="35">
        <v>233010</v>
      </c>
      <c r="D181" s="44">
        <v>0.12</v>
      </c>
      <c r="F181" s="41">
        <f t="shared" si="4"/>
        <v>233010</v>
      </c>
      <c r="G181">
        <f t="shared" si="5"/>
        <v>0.12</v>
      </c>
    </row>
    <row r="182" spans="2:7">
      <c r="B182" s="22">
        <v>1092</v>
      </c>
      <c r="C182" s="35">
        <v>211296</v>
      </c>
      <c r="D182" s="44">
        <v>0.2</v>
      </c>
      <c r="F182" s="41">
        <f t="shared" si="4"/>
        <v>211296</v>
      </c>
      <c r="G182">
        <f t="shared" si="5"/>
        <v>0.2</v>
      </c>
    </row>
    <row r="183" spans="2:7">
      <c r="B183" s="22">
        <v>1093</v>
      </c>
      <c r="C183" s="35">
        <v>14263</v>
      </c>
      <c r="D183" s="44">
        <v>0.19</v>
      </c>
      <c r="F183" s="41">
        <f t="shared" si="4"/>
        <v>14263</v>
      </c>
      <c r="G183">
        <f t="shared" si="5"/>
        <v>0.19</v>
      </c>
    </row>
    <row r="184" spans="2:7">
      <c r="B184" s="22">
        <v>1094</v>
      </c>
      <c r="C184" s="35">
        <v>14508</v>
      </c>
      <c r="D184" s="44">
        <v>0.09</v>
      </c>
      <c r="F184" s="41">
        <f t="shared" si="4"/>
        <v>14508</v>
      </c>
      <c r="G184">
        <f t="shared" si="5"/>
        <v>0.09</v>
      </c>
    </row>
    <row r="185" spans="2:7">
      <c r="B185" s="22">
        <v>1095</v>
      </c>
      <c r="C185" s="35">
        <v>52745</v>
      </c>
      <c r="D185" s="44">
        <v>0.13</v>
      </c>
      <c r="F185" s="41">
        <f t="shared" si="4"/>
        <v>52745</v>
      </c>
      <c r="G185">
        <f t="shared" si="5"/>
        <v>0.13</v>
      </c>
    </row>
    <row r="186" spans="2:7">
      <c r="B186" s="22">
        <v>1096</v>
      </c>
      <c r="C186" s="35">
        <v>291600</v>
      </c>
      <c r="D186" s="44">
        <v>0.06</v>
      </c>
      <c r="F186" s="41">
        <f t="shared" si="4"/>
        <v>291600</v>
      </c>
      <c r="G186">
        <f t="shared" si="5"/>
        <v>0.06</v>
      </c>
    </row>
    <row r="187" spans="2:7">
      <c r="B187" s="22">
        <v>1097</v>
      </c>
      <c r="C187" s="35">
        <v>225570</v>
      </c>
      <c r="D187" s="44">
        <v>0.12</v>
      </c>
      <c r="F187" s="41">
        <f t="shared" si="4"/>
        <v>225570</v>
      </c>
      <c r="G187">
        <f t="shared" si="5"/>
        <v>0.12</v>
      </c>
    </row>
    <row r="188" spans="2:7">
      <c r="B188" s="22">
        <v>1098</v>
      </c>
      <c r="C188" s="35">
        <v>25968</v>
      </c>
      <c r="D188" s="44">
        <v>0.1</v>
      </c>
      <c r="F188" s="41">
        <f t="shared" si="4"/>
        <v>25968</v>
      </c>
      <c r="G188">
        <f t="shared" si="5"/>
        <v>0.1</v>
      </c>
    </row>
    <row r="189" spans="2:7">
      <c r="B189" s="22">
        <v>1099</v>
      </c>
      <c r="C189" s="35">
        <v>154497</v>
      </c>
      <c r="D189" s="44">
        <v>0.01</v>
      </c>
      <c r="F189" s="41">
        <f t="shared" si="4"/>
        <v>154497</v>
      </c>
      <c r="G189">
        <f t="shared" si="5"/>
        <v>0.01</v>
      </c>
    </row>
    <row r="190" spans="2:7">
      <c r="B190" s="22">
        <v>1100</v>
      </c>
      <c r="C190" s="35">
        <v>84060</v>
      </c>
      <c r="D190" s="44">
        <v>7.0000000000000007E-2</v>
      </c>
      <c r="F190" s="41">
        <f t="shared" si="4"/>
        <v>84060</v>
      </c>
      <c r="G190">
        <f t="shared" si="5"/>
        <v>7.0000000000000007E-2</v>
      </c>
    </row>
    <row r="191" spans="2:7">
      <c r="B191" s="22">
        <v>1101</v>
      </c>
      <c r="C191" s="35">
        <v>39612</v>
      </c>
      <c r="D191" s="44">
        <v>0.05</v>
      </c>
      <c r="F191" s="41">
        <f t="shared" si="4"/>
        <v>39612</v>
      </c>
      <c r="G191">
        <f t="shared" si="5"/>
        <v>0.05</v>
      </c>
    </row>
    <row r="192" spans="2:7">
      <c r="B192" s="22">
        <v>1102</v>
      </c>
      <c r="C192" s="35">
        <v>102050</v>
      </c>
      <c r="D192" s="44">
        <v>0.02</v>
      </c>
      <c r="F192" s="41">
        <f t="shared" si="4"/>
        <v>102050</v>
      </c>
      <c r="G192">
        <f t="shared" si="5"/>
        <v>0.02</v>
      </c>
    </row>
    <row r="193" spans="2:7">
      <c r="B193" s="22">
        <v>1103</v>
      </c>
      <c r="C193" s="35">
        <v>125028</v>
      </c>
      <c r="D193" s="44">
        <v>0.11</v>
      </c>
      <c r="F193" s="41">
        <f t="shared" si="4"/>
        <v>125028</v>
      </c>
      <c r="G193">
        <f t="shared" si="5"/>
        <v>0.11</v>
      </c>
    </row>
    <row r="194" spans="2:7">
      <c r="B194" s="22">
        <v>1104</v>
      </c>
      <c r="C194" s="35">
        <v>320306</v>
      </c>
      <c r="D194" s="44">
        <v>0.03</v>
      </c>
      <c r="F194" s="41">
        <f t="shared" si="4"/>
        <v>320306</v>
      </c>
      <c r="G194">
        <f t="shared" si="5"/>
        <v>0.03</v>
      </c>
    </row>
    <row r="195" spans="2:7">
      <c r="B195" s="22">
        <v>1105</v>
      </c>
      <c r="C195" s="35">
        <v>4071</v>
      </c>
      <c r="D195" s="44">
        <v>0.19</v>
      </c>
      <c r="F195" s="41">
        <f t="shared" si="4"/>
        <v>4071</v>
      </c>
      <c r="G195">
        <f t="shared" si="5"/>
        <v>0.19</v>
      </c>
    </row>
    <row r="196" spans="2:7">
      <c r="B196" s="22">
        <v>1106</v>
      </c>
      <c r="C196" s="35">
        <v>21761</v>
      </c>
      <c r="D196" s="44">
        <v>0.18</v>
      </c>
      <c r="F196" s="41">
        <f t="shared" si="4"/>
        <v>21761</v>
      </c>
      <c r="G196">
        <f t="shared" si="5"/>
        <v>0.18</v>
      </c>
    </row>
    <row r="197" spans="2:7">
      <c r="B197" s="22">
        <v>1107</v>
      </c>
      <c r="C197" s="35">
        <v>111072</v>
      </c>
      <c r="D197" s="44">
        <v>0.17</v>
      </c>
      <c r="F197" s="41">
        <f t="shared" si="4"/>
        <v>111072</v>
      </c>
      <c r="G197">
        <f t="shared" si="5"/>
        <v>0.17</v>
      </c>
    </row>
    <row r="198" spans="2:7">
      <c r="B198" s="22">
        <v>1108</v>
      </c>
      <c r="C198" s="35">
        <v>278411</v>
      </c>
      <c r="D198" s="44">
        <v>0.04</v>
      </c>
      <c r="F198" s="41">
        <f t="shared" si="4"/>
        <v>278411</v>
      </c>
      <c r="G198">
        <f t="shared" si="5"/>
        <v>0.04</v>
      </c>
    </row>
    <row r="199" spans="2:7">
      <c r="B199" s="22">
        <v>1109</v>
      </c>
      <c r="C199" s="35">
        <v>35493</v>
      </c>
      <c r="D199" s="44">
        <v>0.03</v>
      </c>
      <c r="F199" s="41">
        <f t="shared" si="4"/>
        <v>35493</v>
      </c>
      <c r="G199">
        <f t="shared" si="5"/>
        <v>0.03</v>
      </c>
    </row>
    <row r="200" spans="2:7">
      <c r="B200" s="22">
        <v>1110</v>
      </c>
      <c r="C200" s="35">
        <v>65597</v>
      </c>
      <c r="D200" s="44">
        <v>0.05</v>
      </c>
      <c r="F200" s="41">
        <f t="shared" si="4"/>
        <v>65597</v>
      </c>
      <c r="G200">
        <f t="shared" si="5"/>
        <v>0.05</v>
      </c>
    </row>
    <row r="201" spans="2:7">
      <c r="B201" s="22">
        <v>1111</v>
      </c>
      <c r="C201" s="35">
        <v>6350</v>
      </c>
      <c r="D201" s="44">
        <v>0.01</v>
      </c>
      <c r="F201" s="41">
        <f t="shared" si="4"/>
        <v>6350</v>
      </c>
      <c r="G201">
        <f t="shared" si="5"/>
        <v>0.01</v>
      </c>
    </row>
    <row r="202" spans="2:7">
      <c r="B202" s="22">
        <v>1112</v>
      </c>
      <c r="C202" s="35">
        <v>166864</v>
      </c>
      <c r="D202" s="44">
        <v>0.03</v>
      </c>
      <c r="F202" s="41">
        <f t="shared" si="4"/>
        <v>166864</v>
      </c>
      <c r="G202">
        <f t="shared" si="5"/>
        <v>0.03</v>
      </c>
    </row>
    <row r="203" spans="2:7">
      <c r="B203" s="22">
        <v>1113</v>
      </c>
      <c r="C203" s="35">
        <v>173475</v>
      </c>
      <c r="D203" s="44">
        <v>0.08</v>
      </c>
      <c r="F203" s="41">
        <f t="shared" si="4"/>
        <v>173475</v>
      </c>
      <c r="G203">
        <f t="shared" si="5"/>
        <v>0.08</v>
      </c>
    </row>
    <row r="204" spans="2:7">
      <c r="B204" s="22">
        <v>1114</v>
      </c>
      <c r="C204" s="35">
        <v>74544</v>
      </c>
      <c r="D204" s="44">
        <v>0.15</v>
      </c>
      <c r="F204" s="41">
        <f t="shared" si="4"/>
        <v>74544</v>
      </c>
      <c r="G204">
        <f t="shared" si="5"/>
        <v>0.15</v>
      </c>
    </row>
    <row r="205" spans="2:7">
      <c r="B205" s="22">
        <v>1115</v>
      </c>
      <c r="C205" s="35">
        <v>67650</v>
      </c>
      <c r="D205" s="44">
        <v>0.13</v>
      </c>
      <c r="F205" s="41">
        <f t="shared" si="4"/>
        <v>67650</v>
      </c>
      <c r="G205">
        <f t="shared" si="5"/>
        <v>0.13</v>
      </c>
    </row>
    <row r="206" spans="2:7">
      <c r="B206" s="22">
        <v>1116</v>
      </c>
      <c r="C206" s="35">
        <v>177428</v>
      </c>
      <c r="D206" s="44">
        <v>0.04</v>
      </c>
      <c r="F206" s="41">
        <f t="shared" si="4"/>
        <v>177428</v>
      </c>
      <c r="G206">
        <f t="shared" si="5"/>
        <v>0.04</v>
      </c>
    </row>
    <row r="207" spans="2:7">
      <c r="B207" s="22">
        <v>1117</v>
      </c>
      <c r="C207" s="35">
        <v>95378</v>
      </c>
      <c r="D207" s="44">
        <v>0.08</v>
      </c>
      <c r="F207" s="41">
        <f t="shared" si="4"/>
        <v>95378</v>
      </c>
      <c r="G207">
        <f t="shared" si="5"/>
        <v>0.08</v>
      </c>
    </row>
    <row r="208" spans="2:7">
      <c r="B208" s="22">
        <v>1118</v>
      </c>
      <c r="C208" s="35">
        <v>118036</v>
      </c>
      <c r="D208" s="44">
        <v>0.1</v>
      </c>
      <c r="F208" s="41">
        <f t="shared" si="4"/>
        <v>118036</v>
      </c>
      <c r="G208">
        <f t="shared" si="5"/>
        <v>0.1</v>
      </c>
    </row>
    <row r="209" spans="2:7">
      <c r="B209" s="22">
        <v>1119</v>
      </c>
      <c r="C209" s="35">
        <v>9756</v>
      </c>
      <c r="D209" s="44">
        <v>0.11</v>
      </c>
      <c r="F209" s="41">
        <f t="shared" si="4"/>
        <v>9756</v>
      </c>
      <c r="G209">
        <f t="shared" si="5"/>
        <v>0.11</v>
      </c>
    </row>
    <row r="210" spans="2:7">
      <c r="B210" s="22">
        <v>1120</v>
      </c>
      <c r="C210" s="35">
        <v>369970</v>
      </c>
      <c r="D210" s="44">
        <v>0.05</v>
      </c>
      <c r="F210" s="41">
        <f t="shared" si="4"/>
        <v>369970</v>
      </c>
      <c r="G210">
        <f t="shared" si="5"/>
        <v>0.05</v>
      </c>
    </row>
    <row r="211" spans="2:7">
      <c r="B211" s="22">
        <v>1121</v>
      </c>
      <c r="C211" s="35">
        <v>306048</v>
      </c>
      <c r="D211" s="44">
        <v>0.15</v>
      </c>
      <c r="F211" s="41">
        <f t="shared" si="4"/>
        <v>306048</v>
      </c>
      <c r="G211">
        <f t="shared" si="5"/>
        <v>0.15</v>
      </c>
    </row>
    <row r="212" spans="2:7">
      <c r="B212" s="22">
        <v>1122</v>
      </c>
      <c r="C212" s="35">
        <v>26602</v>
      </c>
      <c r="D212" s="44">
        <v>0.06</v>
      </c>
      <c r="F212" s="41">
        <f t="shared" si="4"/>
        <v>26602</v>
      </c>
      <c r="G212">
        <f t="shared" si="5"/>
        <v>0.06</v>
      </c>
    </row>
    <row r="213" spans="2:7">
      <c r="B213" s="22">
        <v>1123</v>
      </c>
      <c r="C213" s="35">
        <v>133048</v>
      </c>
      <c r="D213" s="44">
        <v>0.01</v>
      </c>
      <c r="F213" s="41">
        <f t="shared" si="4"/>
        <v>133048</v>
      </c>
      <c r="G213">
        <f t="shared" si="5"/>
        <v>0.01</v>
      </c>
    </row>
    <row r="214" spans="2:7">
      <c r="B214" s="22">
        <v>1124</v>
      </c>
      <c r="C214" s="35">
        <v>166320</v>
      </c>
      <c r="D214" s="44">
        <v>0.14000000000000001</v>
      </c>
      <c r="F214" s="41">
        <f t="shared" si="4"/>
        <v>166320</v>
      </c>
      <c r="G214">
        <f t="shared" si="5"/>
        <v>0.14000000000000001</v>
      </c>
    </row>
    <row r="215" spans="2:7">
      <c r="B215" s="22">
        <v>1125</v>
      </c>
      <c r="C215" s="35">
        <v>95508</v>
      </c>
      <c r="D215" s="44">
        <v>0.1</v>
      </c>
      <c r="F215" s="41">
        <f t="shared" si="4"/>
        <v>95508</v>
      </c>
      <c r="G215">
        <f t="shared" si="5"/>
        <v>0.1</v>
      </c>
    </row>
    <row r="216" spans="2:7">
      <c r="B216" s="22">
        <v>1126</v>
      </c>
      <c r="C216" s="35">
        <v>278190</v>
      </c>
      <c r="D216" s="44">
        <v>0.18</v>
      </c>
      <c r="F216" s="41">
        <f t="shared" si="4"/>
        <v>278190</v>
      </c>
      <c r="G216">
        <f t="shared" si="5"/>
        <v>0.18</v>
      </c>
    </row>
    <row r="217" spans="2:7">
      <c r="B217" s="22">
        <v>1127</v>
      </c>
      <c r="C217" s="35">
        <v>226866</v>
      </c>
      <c r="D217" s="44">
        <v>0.09</v>
      </c>
      <c r="F217" s="41">
        <f t="shared" si="4"/>
        <v>226866</v>
      </c>
      <c r="G217">
        <f t="shared" si="5"/>
        <v>0.09</v>
      </c>
    </row>
    <row r="218" spans="2:7">
      <c r="B218" s="22">
        <v>1128</v>
      </c>
      <c r="C218" s="35">
        <v>43704</v>
      </c>
      <c r="D218" s="44">
        <v>0.03</v>
      </c>
      <c r="F218" s="41">
        <f t="shared" si="4"/>
        <v>43704</v>
      </c>
      <c r="G218">
        <f t="shared" si="5"/>
        <v>0.03</v>
      </c>
    </row>
    <row r="219" spans="2:7">
      <c r="B219" s="22">
        <v>1129</v>
      </c>
      <c r="C219" s="35">
        <v>246526</v>
      </c>
      <c r="D219" s="44">
        <v>0.05</v>
      </c>
      <c r="F219" s="41">
        <f t="shared" si="4"/>
        <v>246526</v>
      </c>
      <c r="G219">
        <f t="shared" si="5"/>
        <v>0.05</v>
      </c>
    </row>
    <row r="220" spans="2:7">
      <c r="B220" s="22">
        <v>1130</v>
      </c>
      <c r="C220" s="35">
        <v>132405</v>
      </c>
      <c r="D220" s="44">
        <v>0.08</v>
      </c>
      <c r="F220" s="41">
        <f t="shared" ref="F220:F283" si="6">GETPIVOTDATA("Sum of Sales",$B$90,"OrderID",B220)</f>
        <v>132405</v>
      </c>
      <c r="G220">
        <f t="shared" ref="G220:G283" si="7">GETPIVOTDATA("Average of Discount",$B$90,"OrderID",B220)</f>
        <v>0.08</v>
      </c>
    </row>
    <row r="221" spans="2:7">
      <c r="B221" s="22">
        <v>1131</v>
      </c>
      <c r="C221" s="35">
        <v>17900</v>
      </c>
      <c r="D221" s="44">
        <v>0.02</v>
      </c>
      <c r="F221" s="41">
        <f t="shared" si="6"/>
        <v>17900</v>
      </c>
      <c r="G221">
        <f t="shared" si="7"/>
        <v>0.02</v>
      </c>
    </row>
    <row r="222" spans="2:7">
      <c r="B222" s="22">
        <v>1132</v>
      </c>
      <c r="C222" s="35">
        <v>129784</v>
      </c>
      <c r="D222" s="44">
        <v>0.2</v>
      </c>
      <c r="F222" s="41">
        <f t="shared" si="6"/>
        <v>129784</v>
      </c>
      <c r="G222">
        <f t="shared" si="7"/>
        <v>0.2</v>
      </c>
    </row>
    <row r="223" spans="2:7">
      <c r="B223" s="22">
        <v>1133</v>
      </c>
      <c r="C223" s="35">
        <v>123212</v>
      </c>
      <c r="D223" s="44">
        <v>0.13</v>
      </c>
      <c r="F223" s="41">
        <f t="shared" si="6"/>
        <v>123212</v>
      </c>
      <c r="G223">
        <f t="shared" si="7"/>
        <v>0.13</v>
      </c>
    </row>
    <row r="224" spans="2:7">
      <c r="B224" s="22">
        <v>1134</v>
      </c>
      <c r="C224" s="35">
        <v>56076</v>
      </c>
      <c r="D224" s="44">
        <v>0.04</v>
      </c>
      <c r="F224" s="41">
        <f t="shared" si="6"/>
        <v>56076</v>
      </c>
      <c r="G224">
        <f t="shared" si="7"/>
        <v>0.04</v>
      </c>
    </row>
    <row r="225" spans="2:7">
      <c r="B225" s="22">
        <v>1135</v>
      </c>
      <c r="C225" s="35">
        <v>189882</v>
      </c>
      <c r="D225" s="44">
        <v>0.16</v>
      </c>
      <c r="F225" s="41">
        <f t="shared" si="6"/>
        <v>189882</v>
      </c>
      <c r="G225">
        <f t="shared" si="7"/>
        <v>0.16</v>
      </c>
    </row>
    <row r="226" spans="2:7">
      <c r="B226" s="22">
        <v>1136</v>
      </c>
      <c r="C226" s="35">
        <v>34167</v>
      </c>
      <c r="D226" s="44">
        <v>0.14000000000000001</v>
      </c>
      <c r="F226" s="41">
        <f t="shared" si="6"/>
        <v>34167</v>
      </c>
      <c r="G226">
        <f t="shared" si="7"/>
        <v>0.14000000000000001</v>
      </c>
    </row>
    <row r="227" spans="2:7">
      <c r="B227" s="22">
        <v>1137</v>
      </c>
      <c r="C227" s="35">
        <v>156258</v>
      </c>
      <c r="D227" s="44">
        <v>0.13</v>
      </c>
      <c r="F227" s="41">
        <f t="shared" si="6"/>
        <v>156258</v>
      </c>
      <c r="G227">
        <f t="shared" si="7"/>
        <v>0.13</v>
      </c>
    </row>
    <row r="228" spans="2:7">
      <c r="B228" s="22">
        <v>1138</v>
      </c>
      <c r="C228" s="35">
        <v>149740</v>
      </c>
      <c r="D228" s="44">
        <v>0.14000000000000001</v>
      </c>
      <c r="F228" s="41">
        <f t="shared" si="6"/>
        <v>149740</v>
      </c>
      <c r="G228">
        <f t="shared" si="7"/>
        <v>0.14000000000000001</v>
      </c>
    </row>
    <row r="229" spans="2:7">
      <c r="B229" s="22">
        <v>1139</v>
      </c>
      <c r="C229" s="35">
        <v>144956</v>
      </c>
      <c r="D229" s="44">
        <v>0.16</v>
      </c>
      <c r="F229" s="41">
        <f t="shared" si="6"/>
        <v>144956</v>
      </c>
      <c r="G229">
        <f t="shared" si="7"/>
        <v>0.16</v>
      </c>
    </row>
    <row r="230" spans="2:7">
      <c r="B230" s="22">
        <v>1140</v>
      </c>
      <c r="C230" s="35">
        <v>492920</v>
      </c>
      <c r="D230" s="44">
        <v>0.06</v>
      </c>
      <c r="F230" s="41">
        <f t="shared" si="6"/>
        <v>492920</v>
      </c>
      <c r="G230">
        <f t="shared" si="7"/>
        <v>0.06</v>
      </c>
    </row>
    <row r="231" spans="2:7">
      <c r="B231" s="22">
        <v>1141</v>
      </c>
      <c r="C231" s="35">
        <v>22773</v>
      </c>
      <c r="D231" s="44">
        <v>0.14000000000000001</v>
      </c>
      <c r="F231" s="41">
        <f t="shared" si="6"/>
        <v>22773</v>
      </c>
      <c r="G231">
        <f t="shared" si="7"/>
        <v>0.14000000000000001</v>
      </c>
    </row>
    <row r="232" spans="2:7">
      <c r="B232" s="22">
        <v>1142</v>
      </c>
      <c r="C232" s="35">
        <v>42564</v>
      </c>
      <c r="D232" s="44">
        <v>0.16</v>
      </c>
      <c r="F232" s="41">
        <f t="shared" si="6"/>
        <v>42564</v>
      </c>
      <c r="G232">
        <f t="shared" si="7"/>
        <v>0.16</v>
      </c>
    </row>
    <row r="233" spans="2:7">
      <c r="B233" s="22">
        <v>1143</v>
      </c>
      <c r="C233" s="35">
        <v>245490</v>
      </c>
      <c r="D233" s="44">
        <v>0.09</v>
      </c>
      <c r="F233" s="41">
        <f t="shared" si="6"/>
        <v>245490</v>
      </c>
      <c r="G233">
        <f t="shared" si="7"/>
        <v>0.09</v>
      </c>
    </row>
    <row r="234" spans="2:7">
      <c r="B234" s="22">
        <v>1144</v>
      </c>
      <c r="C234" s="35">
        <v>62160</v>
      </c>
      <c r="D234" s="44">
        <v>0.15</v>
      </c>
      <c r="F234" s="41">
        <f t="shared" si="6"/>
        <v>62160</v>
      </c>
      <c r="G234">
        <f t="shared" si="7"/>
        <v>0.15</v>
      </c>
    </row>
    <row r="235" spans="2:7">
      <c r="B235" s="22">
        <v>1145</v>
      </c>
      <c r="C235" s="35">
        <v>192800</v>
      </c>
      <c r="D235" s="44">
        <v>0.2</v>
      </c>
      <c r="F235" s="41">
        <f t="shared" si="6"/>
        <v>192800</v>
      </c>
      <c r="G235">
        <f t="shared" si="7"/>
        <v>0.2</v>
      </c>
    </row>
    <row r="236" spans="2:7">
      <c r="B236" s="22">
        <v>1146</v>
      </c>
      <c r="C236" s="35">
        <v>54085</v>
      </c>
      <c r="D236" s="44">
        <v>0.03</v>
      </c>
      <c r="F236" s="41">
        <f t="shared" si="6"/>
        <v>54085</v>
      </c>
      <c r="G236">
        <f t="shared" si="7"/>
        <v>0.03</v>
      </c>
    </row>
    <row r="237" spans="2:7">
      <c r="B237" s="22">
        <v>1147</v>
      </c>
      <c r="C237" s="35">
        <v>21980</v>
      </c>
      <c r="D237" s="44">
        <v>0.13</v>
      </c>
      <c r="F237" s="41">
        <f t="shared" si="6"/>
        <v>21980</v>
      </c>
      <c r="G237">
        <f t="shared" si="7"/>
        <v>0.13</v>
      </c>
    </row>
    <row r="238" spans="2:7">
      <c r="B238" s="22">
        <v>1148</v>
      </c>
      <c r="C238" s="35">
        <v>64272</v>
      </c>
      <c r="D238" s="44">
        <v>0.04</v>
      </c>
      <c r="F238" s="41">
        <f t="shared" si="6"/>
        <v>64272</v>
      </c>
      <c r="G238">
        <f t="shared" si="7"/>
        <v>0.04</v>
      </c>
    </row>
    <row r="239" spans="2:7">
      <c r="B239" s="22">
        <v>1149</v>
      </c>
      <c r="C239" s="35">
        <v>112410</v>
      </c>
      <c r="D239" s="44">
        <v>0.19</v>
      </c>
      <c r="F239" s="41">
        <f t="shared" si="6"/>
        <v>112410</v>
      </c>
      <c r="G239">
        <f t="shared" si="7"/>
        <v>0.19</v>
      </c>
    </row>
    <row r="240" spans="2:7">
      <c r="B240" s="22">
        <v>1150</v>
      </c>
      <c r="C240" s="35">
        <v>13796</v>
      </c>
      <c r="D240" s="44">
        <v>0.04</v>
      </c>
      <c r="F240" s="41">
        <f t="shared" si="6"/>
        <v>13796</v>
      </c>
      <c r="G240">
        <f t="shared" si="7"/>
        <v>0.04</v>
      </c>
    </row>
    <row r="241" spans="2:7">
      <c r="B241" s="22">
        <v>1151</v>
      </c>
      <c r="C241" s="35">
        <v>24892</v>
      </c>
      <c r="D241" s="44">
        <v>0.11</v>
      </c>
      <c r="F241" s="41">
        <f t="shared" si="6"/>
        <v>24892</v>
      </c>
      <c r="G241">
        <f t="shared" si="7"/>
        <v>0.11</v>
      </c>
    </row>
    <row r="242" spans="2:7">
      <c r="B242" s="22">
        <v>1152</v>
      </c>
      <c r="C242" s="35">
        <v>121121</v>
      </c>
      <c r="D242" s="44">
        <v>0.1</v>
      </c>
      <c r="F242" s="41">
        <f t="shared" si="6"/>
        <v>121121</v>
      </c>
      <c r="G242">
        <f t="shared" si="7"/>
        <v>0.1</v>
      </c>
    </row>
    <row r="243" spans="2:7">
      <c r="B243" s="22">
        <v>1153</v>
      </c>
      <c r="C243" s="35">
        <v>15192</v>
      </c>
      <c r="D243" s="44">
        <v>0.1</v>
      </c>
      <c r="F243" s="41">
        <f t="shared" si="6"/>
        <v>15192</v>
      </c>
      <c r="G243">
        <f t="shared" si="7"/>
        <v>0.1</v>
      </c>
    </row>
    <row r="244" spans="2:7">
      <c r="B244" s="22">
        <v>1154</v>
      </c>
      <c r="C244" s="35">
        <v>198414</v>
      </c>
      <c r="D244" s="44">
        <v>0.02</v>
      </c>
      <c r="F244" s="41">
        <f t="shared" si="6"/>
        <v>198414</v>
      </c>
      <c r="G244">
        <f t="shared" si="7"/>
        <v>0.02</v>
      </c>
    </row>
    <row r="245" spans="2:7">
      <c r="B245" s="22">
        <v>1155</v>
      </c>
      <c r="C245" s="35">
        <v>138660</v>
      </c>
      <c r="D245" s="44">
        <v>0.18</v>
      </c>
      <c r="F245" s="41">
        <f t="shared" si="6"/>
        <v>138660</v>
      </c>
      <c r="G245">
        <f t="shared" si="7"/>
        <v>0.18</v>
      </c>
    </row>
    <row r="246" spans="2:7">
      <c r="B246" s="22">
        <v>1156</v>
      </c>
      <c r="C246" s="35">
        <v>128148</v>
      </c>
      <c r="D246" s="44">
        <v>0.04</v>
      </c>
      <c r="F246" s="41">
        <f t="shared" si="6"/>
        <v>128148</v>
      </c>
      <c r="G246">
        <f t="shared" si="7"/>
        <v>0.04</v>
      </c>
    </row>
    <row r="247" spans="2:7">
      <c r="B247" s="22">
        <v>1157</v>
      </c>
      <c r="C247" s="35">
        <v>55173</v>
      </c>
      <c r="D247" s="44">
        <v>0.2</v>
      </c>
      <c r="F247" s="41">
        <f t="shared" si="6"/>
        <v>55173</v>
      </c>
      <c r="G247">
        <f t="shared" si="7"/>
        <v>0.2</v>
      </c>
    </row>
    <row r="248" spans="2:7">
      <c r="B248" s="22">
        <v>1158</v>
      </c>
      <c r="C248" s="35">
        <v>74832</v>
      </c>
      <c r="D248" s="44">
        <v>0.12</v>
      </c>
      <c r="F248" s="41">
        <f t="shared" si="6"/>
        <v>74832</v>
      </c>
      <c r="G248">
        <f t="shared" si="7"/>
        <v>0.12</v>
      </c>
    </row>
    <row r="249" spans="2:7">
      <c r="B249" s="22">
        <v>1159</v>
      </c>
      <c r="C249" s="35">
        <v>270347</v>
      </c>
      <c r="D249" s="44">
        <v>0.19</v>
      </c>
      <c r="F249" s="41">
        <f t="shared" si="6"/>
        <v>270347</v>
      </c>
      <c r="G249">
        <f t="shared" si="7"/>
        <v>0.19</v>
      </c>
    </row>
    <row r="250" spans="2:7">
      <c r="B250" s="22">
        <v>1160</v>
      </c>
      <c r="C250" s="35">
        <v>102431</v>
      </c>
      <c r="D250" s="44">
        <v>0.15</v>
      </c>
      <c r="F250" s="41">
        <f t="shared" si="6"/>
        <v>102431</v>
      </c>
      <c r="G250">
        <f t="shared" si="7"/>
        <v>0.15</v>
      </c>
    </row>
    <row r="251" spans="2:7">
      <c r="B251" s="22">
        <v>1161</v>
      </c>
      <c r="C251" s="35">
        <v>25918</v>
      </c>
      <c r="D251" s="44">
        <v>0.01</v>
      </c>
      <c r="F251" s="41">
        <f t="shared" si="6"/>
        <v>25918</v>
      </c>
      <c r="G251">
        <f t="shared" si="7"/>
        <v>0.01</v>
      </c>
    </row>
    <row r="252" spans="2:7">
      <c r="B252" s="22">
        <v>1162</v>
      </c>
      <c r="C252" s="35">
        <v>255024</v>
      </c>
      <c r="D252" s="44">
        <v>0.18</v>
      </c>
      <c r="F252" s="41">
        <f t="shared" si="6"/>
        <v>255024</v>
      </c>
      <c r="G252">
        <f t="shared" si="7"/>
        <v>0.18</v>
      </c>
    </row>
    <row r="253" spans="2:7">
      <c r="B253" s="22">
        <v>1163</v>
      </c>
      <c r="C253" s="35">
        <v>486320</v>
      </c>
      <c r="D253" s="44">
        <v>0.09</v>
      </c>
      <c r="F253" s="41">
        <f t="shared" si="6"/>
        <v>486320</v>
      </c>
      <c r="G253">
        <f t="shared" si="7"/>
        <v>0.09</v>
      </c>
    </row>
    <row r="254" spans="2:7">
      <c r="B254" s="22">
        <v>1164</v>
      </c>
      <c r="C254" s="35">
        <v>81360</v>
      </c>
      <c r="D254" s="44">
        <v>0.04</v>
      </c>
      <c r="F254" s="41">
        <f t="shared" si="6"/>
        <v>81360</v>
      </c>
      <c r="G254">
        <f t="shared" si="7"/>
        <v>0.04</v>
      </c>
    </row>
    <row r="255" spans="2:7">
      <c r="B255" s="22">
        <v>1165</v>
      </c>
      <c r="C255" s="35">
        <v>43890</v>
      </c>
      <c r="D255" s="44">
        <v>0.2</v>
      </c>
      <c r="F255" s="41">
        <f t="shared" si="6"/>
        <v>43890</v>
      </c>
      <c r="G255">
        <f t="shared" si="7"/>
        <v>0.2</v>
      </c>
    </row>
    <row r="256" spans="2:7">
      <c r="B256" s="22">
        <v>1166</v>
      </c>
      <c r="C256" s="35">
        <v>8742</v>
      </c>
      <c r="D256" s="44">
        <v>0.14000000000000001</v>
      </c>
      <c r="F256" s="41">
        <f t="shared" si="6"/>
        <v>8742</v>
      </c>
      <c r="G256">
        <f t="shared" si="7"/>
        <v>0.14000000000000001</v>
      </c>
    </row>
    <row r="257" spans="2:7">
      <c r="B257" s="22">
        <v>1167</v>
      </c>
      <c r="C257" s="35">
        <v>9000</v>
      </c>
      <c r="D257" s="44">
        <v>0.03</v>
      </c>
      <c r="F257" s="41">
        <f t="shared" si="6"/>
        <v>9000</v>
      </c>
      <c r="G257">
        <f t="shared" si="7"/>
        <v>0.03</v>
      </c>
    </row>
    <row r="258" spans="2:7">
      <c r="B258" s="22">
        <v>1168</v>
      </c>
      <c r="C258" s="35">
        <v>206376</v>
      </c>
      <c r="D258" s="44">
        <v>0.11</v>
      </c>
      <c r="F258" s="41">
        <f t="shared" si="6"/>
        <v>206376</v>
      </c>
      <c r="G258">
        <f t="shared" si="7"/>
        <v>0.11</v>
      </c>
    </row>
    <row r="259" spans="2:7">
      <c r="B259" s="22">
        <v>1169</v>
      </c>
      <c r="C259" s="35">
        <v>46881</v>
      </c>
      <c r="D259" s="44">
        <v>0.18</v>
      </c>
      <c r="F259" s="41">
        <f t="shared" si="6"/>
        <v>46881</v>
      </c>
      <c r="G259">
        <f t="shared" si="7"/>
        <v>0.18</v>
      </c>
    </row>
    <row r="260" spans="2:7">
      <c r="B260" s="22">
        <v>1170</v>
      </c>
      <c r="C260" s="35">
        <v>176391</v>
      </c>
      <c r="D260" s="44">
        <v>0.18</v>
      </c>
      <c r="F260" s="41">
        <f t="shared" si="6"/>
        <v>176391</v>
      </c>
      <c r="G260">
        <f t="shared" si="7"/>
        <v>0.18</v>
      </c>
    </row>
    <row r="261" spans="2:7">
      <c r="B261" s="22">
        <v>1171</v>
      </c>
      <c r="C261" s="35">
        <v>77105</v>
      </c>
      <c r="D261" s="44">
        <v>0.12</v>
      </c>
      <c r="F261" s="41">
        <f t="shared" si="6"/>
        <v>77105</v>
      </c>
      <c r="G261">
        <f t="shared" si="7"/>
        <v>0.12</v>
      </c>
    </row>
    <row r="262" spans="2:7">
      <c r="B262" s="22">
        <v>1172</v>
      </c>
      <c r="C262" s="35">
        <v>135054</v>
      </c>
      <c r="D262" s="44">
        <v>0.08</v>
      </c>
      <c r="F262" s="41">
        <f t="shared" si="6"/>
        <v>135054</v>
      </c>
      <c r="G262">
        <f t="shared" si="7"/>
        <v>0.08</v>
      </c>
    </row>
    <row r="263" spans="2:7">
      <c r="B263" s="22">
        <v>1173</v>
      </c>
      <c r="C263" s="35">
        <v>309672</v>
      </c>
      <c r="D263" s="44">
        <v>0.04</v>
      </c>
      <c r="F263" s="41">
        <f t="shared" si="6"/>
        <v>309672</v>
      </c>
      <c r="G263">
        <f t="shared" si="7"/>
        <v>0.04</v>
      </c>
    </row>
    <row r="264" spans="2:7">
      <c r="B264" s="22">
        <v>1174</v>
      </c>
      <c r="C264" s="35">
        <v>343660</v>
      </c>
      <c r="D264" s="44">
        <v>0.16</v>
      </c>
      <c r="F264" s="41">
        <f t="shared" si="6"/>
        <v>343660</v>
      </c>
      <c r="G264">
        <f t="shared" si="7"/>
        <v>0.16</v>
      </c>
    </row>
    <row r="265" spans="2:7">
      <c r="B265" s="22">
        <v>1175</v>
      </c>
      <c r="C265" s="35">
        <v>51018</v>
      </c>
      <c r="D265" s="44">
        <v>0.02</v>
      </c>
      <c r="F265" s="41">
        <f t="shared" si="6"/>
        <v>51018</v>
      </c>
      <c r="G265">
        <f t="shared" si="7"/>
        <v>0.02</v>
      </c>
    </row>
    <row r="266" spans="2:7">
      <c r="B266" s="22">
        <v>1176</v>
      </c>
      <c r="C266" s="35">
        <v>177520</v>
      </c>
      <c r="D266" s="44">
        <v>0.02</v>
      </c>
      <c r="F266" s="41">
        <f t="shared" si="6"/>
        <v>177520</v>
      </c>
      <c r="G266">
        <f t="shared" si="7"/>
        <v>0.02</v>
      </c>
    </row>
    <row r="267" spans="2:7">
      <c r="B267" s="22">
        <v>1177</v>
      </c>
      <c r="C267" s="35">
        <v>93738</v>
      </c>
      <c r="D267" s="44">
        <v>7.0000000000000007E-2</v>
      </c>
      <c r="F267" s="41">
        <f t="shared" si="6"/>
        <v>93738</v>
      </c>
      <c r="G267">
        <f t="shared" si="7"/>
        <v>7.0000000000000007E-2</v>
      </c>
    </row>
    <row r="268" spans="2:7">
      <c r="B268" s="22">
        <v>1178</v>
      </c>
      <c r="C268" s="35">
        <v>32685</v>
      </c>
      <c r="D268" s="44">
        <v>0.09</v>
      </c>
      <c r="F268" s="41">
        <f t="shared" si="6"/>
        <v>32685</v>
      </c>
      <c r="G268">
        <f t="shared" si="7"/>
        <v>0.09</v>
      </c>
    </row>
    <row r="269" spans="2:7">
      <c r="B269" s="22">
        <v>1179</v>
      </c>
      <c r="C269" s="35">
        <v>38744</v>
      </c>
      <c r="D269" s="44">
        <v>0.12</v>
      </c>
      <c r="F269" s="41">
        <f t="shared" si="6"/>
        <v>38744</v>
      </c>
      <c r="G269">
        <f t="shared" si="7"/>
        <v>0.12</v>
      </c>
    </row>
    <row r="270" spans="2:7">
      <c r="B270" s="22">
        <v>1180</v>
      </c>
      <c r="C270" s="35">
        <v>305883</v>
      </c>
      <c r="D270" s="44">
        <v>0.09</v>
      </c>
      <c r="F270" s="41">
        <f t="shared" si="6"/>
        <v>305883</v>
      </c>
      <c r="G270">
        <f t="shared" si="7"/>
        <v>0.09</v>
      </c>
    </row>
    <row r="271" spans="2:7">
      <c r="B271" s="22">
        <v>1181</v>
      </c>
      <c r="C271" s="35">
        <v>1413</v>
      </c>
      <c r="D271" s="44">
        <v>0.06</v>
      </c>
      <c r="F271" s="41">
        <f t="shared" si="6"/>
        <v>1413</v>
      </c>
      <c r="G271">
        <f t="shared" si="7"/>
        <v>0.06</v>
      </c>
    </row>
    <row r="272" spans="2:7">
      <c r="B272" s="22">
        <v>1182</v>
      </c>
      <c r="C272" s="35">
        <v>146958</v>
      </c>
      <c r="D272" s="44">
        <v>0.17</v>
      </c>
      <c r="F272" s="41">
        <f t="shared" si="6"/>
        <v>146958</v>
      </c>
      <c r="G272">
        <f t="shared" si="7"/>
        <v>0.17</v>
      </c>
    </row>
    <row r="273" spans="2:7">
      <c r="B273" s="22">
        <v>1183</v>
      </c>
      <c r="C273" s="35">
        <v>184989</v>
      </c>
      <c r="D273" s="44">
        <v>0.11</v>
      </c>
      <c r="F273" s="41">
        <f t="shared" si="6"/>
        <v>184989</v>
      </c>
      <c r="G273">
        <f t="shared" si="7"/>
        <v>0.11</v>
      </c>
    </row>
    <row r="274" spans="2:7">
      <c r="B274" s="22">
        <v>1184</v>
      </c>
      <c r="C274" s="35">
        <v>138525</v>
      </c>
      <c r="D274" s="44">
        <v>0</v>
      </c>
      <c r="F274" s="41">
        <f t="shared" si="6"/>
        <v>138525</v>
      </c>
      <c r="G274">
        <f t="shared" si="7"/>
        <v>0</v>
      </c>
    </row>
    <row r="275" spans="2:7">
      <c r="B275" s="22">
        <v>1185</v>
      </c>
      <c r="C275" s="35">
        <v>1050</v>
      </c>
      <c r="D275" s="44">
        <v>0.08</v>
      </c>
      <c r="F275" s="41">
        <f t="shared" si="6"/>
        <v>1050</v>
      </c>
      <c r="G275">
        <f t="shared" si="7"/>
        <v>0.08</v>
      </c>
    </row>
    <row r="276" spans="2:7">
      <c r="B276" s="22">
        <v>1186</v>
      </c>
      <c r="C276" s="35">
        <v>250038</v>
      </c>
      <c r="D276" s="44">
        <v>0.01</v>
      </c>
      <c r="F276" s="41">
        <f t="shared" si="6"/>
        <v>250038</v>
      </c>
      <c r="G276">
        <f t="shared" si="7"/>
        <v>0.01</v>
      </c>
    </row>
    <row r="277" spans="2:7">
      <c r="B277" s="22">
        <v>1187</v>
      </c>
      <c r="C277" s="35">
        <v>333747</v>
      </c>
      <c r="D277" s="44">
        <v>0.04</v>
      </c>
      <c r="F277" s="41">
        <f t="shared" si="6"/>
        <v>333747</v>
      </c>
      <c r="G277">
        <f t="shared" si="7"/>
        <v>0.04</v>
      </c>
    </row>
    <row r="278" spans="2:7">
      <c r="B278" s="22">
        <v>1188</v>
      </c>
      <c r="C278" s="35">
        <v>125616</v>
      </c>
      <c r="D278" s="44">
        <v>7.0000000000000007E-2</v>
      </c>
      <c r="F278" s="41">
        <f t="shared" si="6"/>
        <v>125616</v>
      </c>
      <c r="G278">
        <f t="shared" si="7"/>
        <v>7.0000000000000007E-2</v>
      </c>
    </row>
    <row r="279" spans="2:7">
      <c r="B279" s="22">
        <v>1189</v>
      </c>
      <c r="C279" s="35">
        <v>676</v>
      </c>
      <c r="D279" s="44">
        <v>0</v>
      </c>
      <c r="F279" s="41">
        <f t="shared" si="6"/>
        <v>676</v>
      </c>
      <c r="G279">
        <f t="shared" si="7"/>
        <v>0</v>
      </c>
    </row>
    <row r="280" spans="2:7">
      <c r="B280" s="22">
        <v>1190</v>
      </c>
      <c r="C280" s="35">
        <v>94218</v>
      </c>
      <c r="D280" s="44">
        <v>0.15</v>
      </c>
      <c r="F280" s="41">
        <f t="shared" si="6"/>
        <v>94218</v>
      </c>
      <c r="G280">
        <f t="shared" si="7"/>
        <v>0.15</v>
      </c>
    </row>
    <row r="281" spans="2:7">
      <c r="B281" s="22">
        <v>1191</v>
      </c>
      <c r="C281" s="35">
        <v>119931</v>
      </c>
      <c r="D281" s="44">
        <v>0.06</v>
      </c>
      <c r="F281" s="41">
        <f t="shared" si="6"/>
        <v>119931</v>
      </c>
      <c r="G281">
        <f t="shared" si="7"/>
        <v>0.06</v>
      </c>
    </row>
    <row r="282" spans="2:7">
      <c r="B282" s="22">
        <v>1192</v>
      </c>
      <c r="C282" s="35">
        <v>85020</v>
      </c>
      <c r="D282" s="44">
        <v>0.05</v>
      </c>
      <c r="F282" s="41">
        <f t="shared" si="6"/>
        <v>85020</v>
      </c>
      <c r="G282">
        <f t="shared" si="7"/>
        <v>0.05</v>
      </c>
    </row>
    <row r="283" spans="2:7">
      <c r="B283" s="22">
        <v>1193</v>
      </c>
      <c r="C283" s="35">
        <v>314968</v>
      </c>
      <c r="D283" s="44">
        <v>0.18</v>
      </c>
      <c r="F283" s="41">
        <f t="shared" si="6"/>
        <v>314968</v>
      </c>
      <c r="G283">
        <f t="shared" si="7"/>
        <v>0.18</v>
      </c>
    </row>
    <row r="284" spans="2:7">
      <c r="B284" s="22">
        <v>1194</v>
      </c>
      <c r="C284" s="35">
        <v>29158</v>
      </c>
      <c r="D284" s="44">
        <v>0.11</v>
      </c>
      <c r="F284" s="41">
        <f t="shared" ref="F284:F290" si="8">GETPIVOTDATA("Sum of Sales",$B$90,"OrderID",B284)</f>
        <v>29158</v>
      </c>
      <c r="G284">
        <f t="shared" ref="G284:G290" si="9">GETPIVOTDATA("Average of Discount",$B$90,"OrderID",B284)</f>
        <v>0.11</v>
      </c>
    </row>
    <row r="285" spans="2:7">
      <c r="B285" s="22">
        <v>1195</v>
      </c>
      <c r="C285" s="35">
        <v>9342</v>
      </c>
      <c r="D285" s="44">
        <v>0.15</v>
      </c>
      <c r="F285" s="41">
        <f t="shared" si="8"/>
        <v>9342</v>
      </c>
      <c r="G285">
        <f t="shared" si="9"/>
        <v>0.15</v>
      </c>
    </row>
    <row r="286" spans="2:7">
      <c r="B286" s="22">
        <v>1196</v>
      </c>
      <c r="C286" s="35">
        <v>265110</v>
      </c>
      <c r="D286" s="44">
        <v>0.05</v>
      </c>
      <c r="F286" s="41">
        <f t="shared" si="8"/>
        <v>265110</v>
      </c>
      <c r="G286">
        <f t="shared" si="9"/>
        <v>0.05</v>
      </c>
    </row>
    <row r="287" spans="2:7">
      <c r="B287" s="22">
        <v>1197</v>
      </c>
      <c r="C287" s="35">
        <v>356008</v>
      </c>
      <c r="D287" s="44">
        <v>0.19</v>
      </c>
      <c r="F287" s="41">
        <f t="shared" si="8"/>
        <v>356008</v>
      </c>
      <c r="G287">
        <f t="shared" si="9"/>
        <v>0.19</v>
      </c>
    </row>
    <row r="288" spans="2:7">
      <c r="B288" s="22">
        <v>1198</v>
      </c>
      <c r="C288" s="35">
        <v>58640</v>
      </c>
      <c r="D288" s="44">
        <v>0.04</v>
      </c>
      <c r="F288" s="41">
        <f t="shared" si="8"/>
        <v>58640</v>
      </c>
      <c r="G288">
        <f t="shared" si="9"/>
        <v>0.04</v>
      </c>
    </row>
    <row r="289" spans="2:7">
      <c r="B289" s="22">
        <v>1199</v>
      </c>
      <c r="C289" s="35">
        <v>109620</v>
      </c>
      <c r="D289" s="44">
        <v>0.17</v>
      </c>
      <c r="F289" s="41">
        <f t="shared" si="8"/>
        <v>109620</v>
      </c>
      <c r="G289">
        <f t="shared" si="9"/>
        <v>0.17</v>
      </c>
    </row>
    <row r="290" spans="2:7">
      <c r="B290" s="22">
        <v>1200</v>
      </c>
      <c r="C290" s="35">
        <v>307202</v>
      </c>
      <c r="D290" s="44">
        <v>7.0000000000000007E-2</v>
      </c>
      <c r="F290" s="41">
        <f t="shared" si="8"/>
        <v>307202</v>
      </c>
      <c r="G290">
        <f t="shared" si="9"/>
        <v>7.0000000000000007E-2</v>
      </c>
    </row>
    <row r="291" spans="2:7">
      <c r="B291" s="30" t="s">
        <v>295</v>
      </c>
      <c r="C291" s="47">
        <v>26538814</v>
      </c>
      <c r="D291" s="45">
        <v>9.7399999999999931E-2</v>
      </c>
    </row>
  </sheetData>
  <mergeCells count="4">
    <mergeCell ref="A5:E5"/>
    <mergeCell ref="G4:Q4"/>
    <mergeCell ref="A23:P23"/>
    <mergeCell ref="A73:D73"/>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2C814-C670-4CF0-94DB-67F487368532}">
  <dimension ref="A1"/>
  <sheetViews>
    <sheetView showGridLines="0" tabSelected="1" zoomScale="70" zoomScaleNormal="70" workbookViewId="0">
      <selection activeCell="AD23" sqref="AD23"/>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42F7A-9E63-43C0-978E-4C5C5775B3A0}">
  <dimension ref="A2:R47"/>
  <sheetViews>
    <sheetView topLeftCell="A3" zoomScale="65" workbookViewId="0">
      <selection activeCell="M5" sqref="M5"/>
    </sheetView>
  </sheetViews>
  <sheetFormatPr defaultRowHeight="14.4"/>
  <cols>
    <col min="1" max="1" width="12.5546875" bestFit="1" customWidth="1"/>
    <col min="2" max="2" width="14.109375" bestFit="1" customWidth="1"/>
    <col min="3" max="3" width="25.44140625" bestFit="1" customWidth="1"/>
    <col min="4" max="4" width="18.5546875" bestFit="1" customWidth="1"/>
    <col min="5" max="5" width="15.44140625" bestFit="1" customWidth="1"/>
    <col min="8" max="8" width="14.109375" bestFit="1" customWidth="1"/>
    <col min="9" max="9" width="25.44140625" bestFit="1" customWidth="1"/>
    <col min="10" max="11" width="15.44140625" bestFit="1" customWidth="1"/>
    <col min="12" max="12" width="14.109375" bestFit="1" customWidth="1"/>
    <col min="13" max="13" width="28.77734375" bestFit="1" customWidth="1"/>
    <col min="14" max="15" width="15.109375" bestFit="1" customWidth="1"/>
  </cols>
  <sheetData>
    <row r="2" spans="1:18" ht="18">
      <c r="A2" s="91" t="s">
        <v>271</v>
      </c>
      <c r="B2" s="92"/>
      <c r="C2" s="92"/>
      <c r="D2" s="92"/>
      <c r="E2" s="92"/>
      <c r="F2" s="93"/>
      <c r="H2" s="91" t="s">
        <v>304</v>
      </c>
      <c r="I2" s="92"/>
      <c r="J2" s="92"/>
      <c r="K2" s="92"/>
      <c r="L2" s="92"/>
      <c r="M2" s="92"/>
      <c r="N2" s="92"/>
      <c r="O2" s="92"/>
      <c r="P2" s="92"/>
      <c r="Q2" s="92"/>
      <c r="R2" s="93"/>
    </row>
    <row r="3" spans="1:18">
      <c r="A3" s="15"/>
      <c r="F3" s="16"/>
      <c r="H3" s="15"/>
      <c r="R3" s="16"/>
    </row>
    <row r="4" spans="1:18">
      <c r="A4" s="15"/>
      <c r="B4" s="26" t="s">
        <v>294</v>
      </c>
      <c r="C4" s="31" t="s">
        <v>297</v>
      </c>
      <c r="D4" s="59" t="s">
        <v>302</v>
      </c>
      <c r="E4" s="32" t="s">
        <v>303</v>
      </c>
      <c r="F4" s="16"/>
      <c r="H4" s="26" t="s">
        <v>294</v>
      </c>
      <c r="I4" s="36" t="s">
        <v>297</v>
      </c>
      <c r="K4" s="36" t="s">
        <v>303</v>
      </c>
      <c r="M4" s="36" t="s">
        <v>305</v>
      </c>
      <c r="R4" s="16"/>
    </row>
    <row r="5" spans="1:18">
      <c r="A5" s="15"/>
      <c r="B5" s="27" t="s">
        <v>44</v>
      </c>
      <c r="C5" s="34">
        <v>4064154.6300000004</v>
      </c>
      <c r="D5" s="57">
        <v>0.11071428571428567</v>
      </c>
      <c r="E5" s="14">
        <v>28</v>
      </c>
      <c r="F5" s="16"/>
      <c r="H5" s="30" t="s">
        <v>63</v>
      </c>
      <c r="I5" s="52">
        <v>4148926.169999999</v>
      </c>
      <c r="K5" s="36">
        <v>200</v>
      </c>
      <c r="M5" s="54">
        <v>120024.90760000008</v>
      </c>
      <c r="R5" s="16"/>
    </row>
    <row r="6" spans="1:18">
      <c r="A6" s="15"/>
      <c r="B6" s="28" t="s">
        <v>26</v>
      </c>
      <c r="C6" s="35">
        <v>3469190.1500000004</v>
      </c>
      <c r="D6" s="11">
        <v>8.8709677419354857E-2</v>
      </c>
      <c r="E6" s="16">
        <v>31</v>
      </c>
      <c r="F6" s="16"/>
      <c r="H6" s="30" t="s">
        <v>295</v>
      </c>
      <c r="I6" s="51">
        <v>4148926.169999999</v>
      </c>
      <c r="R6" s="16"/>
    </row>
    <row r="7" spans="1:18">
      <c r="A7" s="15"/>
      <c r="B7" s="28" t="s">
        <v>19</v>
      </c>
      <c r="C7" s="35">
        <v>2609995.1399999997</v>
      </c>
      <c r="D7" s="11">
        <v>9.8749999999999991E-2</v>
      </c>
      <c r="E7" s="16">
        <v>24</v>
      </c>
      <c r="F7" s="16"/>
      <c r="H7" s="15"/>
      <c r="R7" s="16"/>
    </row>
    <row r="8" spans="1:18">
      <c r="A8" s="15"/>
      <c r="B8" s="28" t="s">
        <v>103</v>
      </c>
      <c r="C8" s="35">
        <v>3462860.8099999996</v>
      </c>
      <c r="D8" s="11">
        <v>9.5217391304347809E-2</v>
      </c>
      <c r="E8" s="16">
        <v>23</v>
      </c>
      <c r="F8" s="16"/>
      <c r="H8" s="15"/>
      <c r="R8" s="16"/>
    </row>
    <row r="9" spans="1:18">
      <c r="A9" s="15"/>
      <c r="B9" s="28" t="s">
        <v>39</v>
      </c>
      <c r="C9" s="35">
        <v>2188932.67</v>
      </c>
      <c r="D9" s="11">
        <v>9.0833333333333363E-2</v>
      </c>
      <c r="E9" s="16">
        <v>24</v>
      </c>
      <c r="F9" s="16"/>
      <c r="H9" s="15" t="str">
        <f>H5</f>
        <v>Vikram</v>
      </c>
      <c r="I9" s="41">
        <f>GETPIVOTDATA("Sale_After_Discount",$H$4,"Salesperson","Vikram")</f>
        <v>4148926.169999999</v>
      </c>
      <c r="K9">
        <f>GETPIVOTDATA("OrderID",$K$4)</f>
        <v>200</v>
      </c>
      <c r="M9" s="41">
        <f>GETPIVOTDATA("Sale_After_Discount",$M$4)</f>
        <v>120024.90760000008</v>
      </c>
      <c r="R9" s="16"/>
    </row>
    <row r="10" spans="1:18">
      <c r="A10" s="15"/>
      <c r="B10" s="28" t="s">
        <v>34</v>
      </c>
      <c r="C10" s="35">
        <v>2379949.2000000007</v>
      </c>
      <c r="D10" s="11">
        <v>0.10666666666666667</v>
      </c>
      <c r="E10" s="16">
        <v>24</v>
      </c>
      <c r="F10" s="16"/>
      <c r="H10" s="15"/>
      <c r="R10" s="16"/>
    </row>
    <row r="11" spans="1:18">
      <c r="A11" s="15"/>
      <c r="B11" s="28" t="s">
        <v>73</v>
      </c>
      <c r="C11" s="35">
        <v>1680972.7499999998</v>
      </c>
      <c r="D11" s="11">
        <v>7.6999999999999999E-2</v>
      </c>
      <c r="E11" s="16">
        <v>20</v>
      </c>
      <c r="F11" s="16"/>
      <c r="H11" s="15"/>
      <c r="R11" s="16"/>
    </row>
    <row r="12" spans="1:18">
      <c r="A12" s="15"/>
      <c r="B12" s="29" t="s">
        <v>63</v>
      </c>
      <c r="C12" s="35">
        <v>4148926.169999999</v>
      </c>
      <c r="D12" s="11">
        <v>0.1073076923076923</v>
      </c>
      <c r="E12" s="16">
        <v>26</v>
      </c>
      <c r="F12" s="16"/>
      <c r="H12" s="15"/>
      <c r="R12" s="16"/>
    </row>
    <row r="13" spans="1:18">
      <c r="A13" s="15"/>
      <c r="B13" s="30" t="s">
        <v>295</v>
      </c>
      <c r="C13" s="58">
        <v>24004981.520000003</v>
      </c>
      <c r="D13" s="56">
        <v>9.7399999999999945E-2</v>
      </c>
      <c r="E13" s="19">
        <v>200</v>
      </c>
      <c r="F13" s="16"/>
      <c r="H13" s="15"/>
      <c r="R13" s="16"/>
    </row>
    <row r="14" spans="1:18">
      <c r="A14" s="17"/>
      <c r="B14" s="18"/>
      <c r="C14" s="18"/>
      <c r="D14" s="18"/>
      <c r="E14" s="18"/>
      <c r="F14" s="19"/>
      <c r="H14" s="17"/>
      <c r="I14" s="18"/>
      <c r="J14" s="18"/>
      <c r="K14" s="18"/>
      <c r="L14" s="18"/>
      <c r="M14" s="18"/>
      <c r="N14" s="18"/>
      <c r="O14" s="18"/>
      <c r="P14" s="18"/>
      <c r="Q14" s="18"/>
      <c r="R14" s="19"/>
    </row>
    <row r="29" spans="1:14" ht="18">
      <c r="A29" s="91" t="s">
        <v>273</v>
      </c>
      <c r="B29" s="92"/>
      <c r="C29" s="92"/>
      <c r="D29" s="92"/>
      <c r="E29" s="92"/>
      <c r="F29" s="92"/>
      <c r="G29" s="92"/>
      <c r="H29" s="92"/>
      <c r="I29" s="92"/>
      <c r="J29" s="92"/>
      <c r="K29" s="93"/>
    </row>
    <row r="30" spans="1:14">
      <c r="A30" s="15"/>
      <c r="K30" s="16"/>
    </row>
    <row r="31" spans="1:14">
      <c r="A31" s="15"/>
      <c r="K31" s="16"/>
      <c r="M31" s="26" t="s">
        <v>294</v>
      </c>
      <c r="N31" s="36" t="s">
        <v>296</v>
      </c>
    </row>
    <row r="32" spans="1:14">
      <c r="A32" s="15"/>
      <c r="B32" s="26" t="s">
        <v>294</v>
      </c>
      <c r="C32" s="36" t="s">
        <v>297</v>
      </c>
      <c r="K32" s="16"/>
      <c r="M32" s="27" t="s">
        <v>26</v>
      </c>
      <c r="N32" s="52">
        <v>171</v>
      </c>
    </row>
    <row r="33" spans="1:14">
      <c r="A33" s="15"/>
      <c r="B33" s="27" t="s">
        <v>44</v>
      </c>
      <c r="C33" s="52">
        <v>4064154.6300000004</v>
      </c>
      <c r="K33" s="16"/>
      <c r="M33" s="28" t="s">
        <v>44</v>
      </c>
      <c r="N33" s="53">
        <v>155</v>
      </c>
    </row>
    <row r="34" spans="1:14">
      <c r="A34" s="15"/>
      <c r="B34" s="28" t="s">
        <v>26</v>
      </c>
      <c r="C34" s="53">
        <v>3469190.1500000004</v>
      </c>
      <c r="K34" s="16"/>
      <c r="M34" s="28" t="s">
        <v>63</v>
      </c>
      <c r="N34" s="53">
        <v>152</v>
      </c>
    </row>
    <row r="35" spans="1:14">
      <c r="A35" s="15"/>
      <c r="B35" s="28" t="s">
        <v>19</v>
      </c>
      <c r="C35" s="53">
        <v>2609995.1399999997</v>
      </c>
      <c r="K35" s="16"/>
      <c r="M35" s="28" t="s">
        <v>19</v>
      </c>
      <c r="N35" s="53">
        <v>151</v>
      </c>
    </row>
    <row r="36" spans="1:14">
      <c r="A36" s="15"/>
      <c r="B36" s="28" t="s">
        <v>103</v>
      </c>
      <c r="C36" s="53">
        <v>3462860.8099999996</v>
      </c>
      <c r="K36" s="16"/>
      <c r="M36" s="28" t="s">
        <v>103</v>
      </c>
      <c r="N36" s="53">
        <v>133</v>
      </c>
    </row>
    <row r="37" spans="1:14">
      <c r="A37" s="15"/>
      <c r="B37" s="28" t="s">
        <v>39</v>
      </c>
      <c r="C37" s="53">
        <v>2188932.67</v>
      </c>
      <c r="K37" s="16"/>
      <c r="M37" s="28" t="s">
        <v>39</v>
      </c>
      <c r="N37" s="53">
        <v>132</v>
      </c>
    </row>
    <row r="38" spans="1:14">
      <c r="A38" s="15"/>
      <c r="B38" s="28" t="s">
        <v>34</v>
      </c>
      <c r="C38" s="53">
        <v>2379949.2000000007</v>
      </c>
      <c r="K38" s="16"/>
      <c r="M38" s="28" t="s">
        <v>34</v>
      </c>
      <c r="N38" s="53">
        <v>108</v>
      </c>
    </row>
    <row r="39" spans="1:14">
      <c r="A39" s="15"/>
      <c r="B39" s="28" t="s">
        <v>73</v>
      </c>
      <c r="C39" s="53">
        <v>1680972.7499999998</v>
      </c>
      <c r="K39" s="16"/>
      <c r="M39" s="29" t="s">
        <v>73</v>
      </c>
      <c r="N39" s="53">
        <v>100</v>
      </c>
    </row>
    <row r="40" spans="1:14">
      <c r="A40" s="15"/>
      <c r="B40" s="29" t="s">
        <v>63</v>
      </c>
      <c r="C40" s="53">
        <v>4148926.169999999</v>
      </c>
      <c r="K40" s="16"/>
      <c r="M40" s="30" t="s">
        <v>295</v>
      </c>
      <c r="N40" s="55">
        <v>1102</v>
      </c>
    </row>
    <row r="41" spans="1:14">
      <c r="A41" s="15"/>
      <c r="B41" s="30" t="s">
        <v>295</v>
      </c>
      <c r="C41" s="51">
        <v>24004981.52</v>
      </c>
      <c r="K41" s="16"/>
    </row>
    <row r="42" spans="1:14">
      <c r="A42" s="15"/>
      <c r="K42" s="16"/>
    </row>
    <row r="43" spans="1:14">
      <c r="A43" s="15"/>
      <c r="K43" s="16"/>
    </row>
    <row r="44" spans="1:14">
      <c r="A44" s="15"/>
      <c r="K44" s="16"/>
    </row>
    <row r="45" spans="1:14">
      <c r="A45" s="15"/>
      <c r="K45" s="16"/>
    </row>
    <row r="46" spans="1:14">
      <c r="A46" s="15"/>
      <c r="K46" s="16"/>
    </row>
    <row r="47" spans="1:14">
      <c r="A47" s="17"/>
      <c r="B47" s="18"/>
      <c r="C47" s="18"/>
      <c r="D47" s="18"/>
      <c r="E47" s="18"/>
      <c r="F47" s="18"/>
      <c r="G47" s="18"/>
      <c r="H47" s="18"/>
      <c r="I47" s="18"/>
      <c r="J47" s="18"/>
      <c r="K47" s="19"/>
    </row>
  </sheetData>
  <mergeCells count="3">
    <mergeCell ref="A2:F2"/>
    <mergeCell ref="A29:K29"/>
    <mergeCell ref="H2:R2"/>
  </mergeCell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443E-24D4-4C0C-9340-AD9C0558EE62}">
  <dimension ref="A1"/>
  <sheetViews>
    <sheetView showGridLines="0" zoomScale="70" zoomScaleNormal="70" workbookViewId="0">
      <selection activeCell="AG15" sqref="AG15"/>
    </sheetView>
  </sheetViews>
  <sheetFormatPr defaultRowHeight="14.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A7C9D-BF07-4C7C-A6D3-52D689B2832A}">
  <dimension ref="A1:L192"/>
  <sheetViews>
    <sheetView topLeftCell="A37" zoomScale="85" zoomScaleNormal="85" workbookViewId="0">
      <selection activeCell="A63" sqref="A63"/>
    </sheetView>
  </sheetViews>
  <sheetFormatPr defaultRowHeight="14.4"/>
  <cols>
    <col min="1" max="1" width="73.33203125" bestFit="1" customWidth="1"/>
  </cols>
  <sheetData>
    <row r="1" spans="1:12">
      <c r="B1" s="3"/>
      <c r="C1" s="2"/>
      <c r="D1" s="2"/>
      <c r="E1" s="2"/>
      <c r="F1" s="2"/>
      <c r="G1" s="2"/>
      <c r="H1" s="2"/>
      <c r="I1" s="2"/>
      <c r="J1" s="2"/>
      <c r="K1" s="2"/>
      <c r="L1" s="2"/>
    </row>
    <row r="2" spans="1:12">
      <c r="A2" s="4" t="s">
        <v>264</v>
      </c>
      <c r="B2" s="3"/>
      <c r="C2" s="2"/>
      <c r="D2" s="2"/>
      <c r="E2" s="2"/>
      <c r="F2" s="2"/>
      <c r="G2" s="2"/>
      <c r="H2" s="2"/>
      <c r="I2" s="2"/>
      <c r="J2" s="2"/>
      <c r="K2" s="2"/>
      <c r="L2" s="2"/>
    </row>
    <row r="3" spans="1:12">
      <c r="B3" s="3"/>
      <c r="C3" s="2"/>
      <c r="D3" s="2"/>
      <c r="E3" s="2"/>
      <c r="F3" s="2"/>
      <c r="G3" s="2"/>
      <c r="H3" s="2"/>
      <c r="I3" s="2"/>
      <c r="J3" s="2"/>
      <c r="K3" s="2"/>
      <c r="L3" s="2"/>
    </row>
    <row r="4" spans="1:12">
      <c r="A4" s="4" t="s">
        <v>265</v>
      </c>
    </row>
    <row r="5" spans="1:12">
      <c r="A5" s="5"/>
    </row>
    <row r="6" spans="1:12">
      <c r="A6" s="5" t="s">
        <v>266</v>
      </c>
    </row>
    <row r="7" spans="1:12">
      <c r="A7" s="5"/>
    </row>
    <row r="8" spans="1:12">
      <c r="A8" s="5" t="s">
        <v>267</v>
      </c>
    </row>
    <row r="9" spans="1:12">
      <c r="A9" s="5"/>
    </row>
    <row r="10" spans="1:12">
      <c r="A10" s="5" t="s">
        <v>268</v>
      </c>
    </row>
    <row r="11" spans="1:12">
      <c r="A11" s="5"/>
    </row>
    <row r="12" spans="1:12">
      <c r="A12" s="5" t="s">
        <v>269</v>
      </c>
    </row>
    <row r="13" spans="1:12">
      <c r="A13" s="5"/>
    </row>
    <row r="14" spans="1:12">
      <c r="A14" s="5" t="s">
        <v>270</v>
      </c>
    </row>
    <row r="17" spans="1:1">
      <c r="A17" s="4" t="s">
        <v>290</v>
      </c>
    </row>
    <row r="19" spans="1:1">
      <c r="A19" s="4" t="s">
        <v>265</v>
      </c>
    </row>
    <row r="20" spans="1:1">
      <c r="A20" s="5"/>
    </row>
    <row r="21" spans="1:1">
      <c r="A21" s="5" t="s">
        <v>271</v>
      </c>
    </row>
    <row r="22" spans="1:1">
      <c r="A22" s="5"/>
    </row>
    <row r="23" spans="1:1">
      <c r="A23" s="5" t="s">
        <v>272</v>
      </c>
    </row>
    <row r="24" spans="1:1">
      <c r="A24" s="5"/>
    </row>
    <row r="25" spans="1:1">
      <c r="A25" s="5" t="s">
        <v>273</v>
      </c>
    </row>
    <row r="26" spans="1:1">
      <c r="A26" s="5"/>
    </row>
    <row r="27" spans="1:1">
      <c r="A27" s="5" t="s">
        <v>274</v>
      </c>
    </row>
    <row r="28" spans="1:1">
      <c r="A28" s="5"/>
    </row>
    <row r="29" spans="1:1">
      <c r="A29" s="5"/>
    </row>
    <row r="30" spans="1:1">
      <c r="A30" s="6"/>
    </row>
    <row r="31" spans="1:1">
      <c r="A31" s="6" t="s">
        <v>275</v>
      </c>
    </row>
    <row r="32" spans="1:1">
      <c r="A32" s="6"/>
    </row>
    <row r="33" spans="1:1">
      <c r="A33" s="6" t="s">
        <v>276</v>
      </c>
    </row>
    <row r="34" spans="1:1">
      <c r="A34" s="6"/>
    </row>
    <row r="35" spans="1:1">
      <c r="A35" s="6" t="s">
        <v>277</v>
      </c>
    </row>
    <row r="37" spans="1:1">
      <c r="A37" s="4" t="s">
        <v>278</v>
      </c>
    </row>
    <row r="40" spans="1:1">
      <c r="A40" s="4" t="s">
        <v>279</v>
      </c>
    </row>
    <row r="42" spans="1:1">
      <c r="A42" s="4" t="s">
        <v>280</v>
      </c>
    </row>
    <row r="43" spans="1:1">
      <c r="A43" s="5"/>
    </row>
    <row r="44" spans="1:1">
      <c r="A44" s="5" t="s">
        <v>281</v>
      </c>
    </row>
    <row r="45" spans="1:1">
      <c r="A45" s="5"/>
    </row>
    <row r="46" spans="1:1">
      <c r="A46" s="5" t="s">
        <v>282</v>
      </c>
    </row>
    <row r="47" spans="1:1">
      <c r="A47" s="5"/>
    </row>
    <row r="48" spans="1:1">
      <c r="A48" s="5" t="s">
        <v>283</v>
      </c>
    </row>
    <row r="49" spans="1:1">
      <c r="A49" s="6" t="s">
        <v>263</v>
      </c>
    </row>
    <row r="50" spans="1:1">
      <c r="A50" s="6"/>
    </row>
    <row r="51" spans="1:1">
      <c r="A51" s="6" t="s">
        <v>276</v>
      </c>
    </row>
    <row r="52" spans="1:1">
      <c r="A52" s="6"/>
    </row>
    <row r="53" spans="1:1">
      <c r="A53" s="6" t="s">
        <v>277</v>
      </c>
    </row>
    <row r="54" spans="1:1">
      <c r="A54" s="6"/>
    </row>
    <row r="55" spans="1:1">
      <c r="A55" s="6" t="s">
        <v>284</v>
      </c>
    </row>
    <row r="56" spans="1:1">
      <c r="A56" s="5"/>
    </row>
    <row r="57" spans="1:1">
      <c r="A57" s="5" t="s">
        <v>285</v>
      </c>
    </row>
    <row r="58" spans="1:1">
      <c r="A58" s="6"/>
    </row>
    <row r="59" spans="1:1">
      <c r="A59" s="6" t="s">
        <v>286</v>
      </c>
    </row>
    <row r="60" spans="1:1">
      <c r="A60" s="6"/>
    </row>
    <row r="61" spans="1:1">
      <c r="A61" s="6" t="s">
        <v>287</v>
      </c>
    </row>
    <row r="62" spans="1:1">
      <c r="A62" s="6"/>
    </row>
    <row r="63" spans="1:1">
      <c r="A63" s="6" t="s">
        <v>288</v>
      </c>
    </row>
    <row r="65" spans="1:1">
      <c r="A65" s="4" t="s">
        <v>289</v>
      </c>
    </row>
    <row r="88" spans="1:1" ht="23.4">
      <c r="A88" s="7"/>
    </row>
    <row r="90" spans="1:1">
      <c r="A90" s="4"/>
    </row>
    <row r="92" spans="1:1">
      <c r="A92" s="4"/>
    </row>
    <row r="93" spans="1:1">
      <c r="A93" s="5"/>
    </row>
    <row r="94" spans="1:1">
      <c r="A94" s="5"/>
    </row>
    <row r="95" spans="1:1">
      <c r="A95" s="5"/>
    </row>
    <row r="96" spans="1:1">
      <c r="A96" s="5"/>
    </row>
    <row r="97" spans="1:1">
      <c r="A97" s="5"/>
    </row>
    <row r="98" spans="1:1">
      <c r="A98" s="5"/>
    </row>
    <row r="99" spans="1:1">
      <c r="A99" s="6"/>
    </row>
    <row r="100" spans="1:1">
      <c r="A100" s="9"/>
    </row>
    <row r="101" spans="1:1">
      <c r="A101" s="6"/>
    </row>
    <row r="102" spans="1:1">
      <c r="A102" s="9"/>
    </row>
    <row r="103" spans="1:1">
      <c r="A103" s="5"/>
    </row>
    <row r="104" spans="1:1">
      <c r="A104" s="5"/>
    </row>
    <row r="106" spans="1:1">
      <c r="A106" s="4"/>
    </row>
    <row r="110" spans="1:1" ht="23.4">
      <c r="A110" s="7"/>
    </row>
    <row r="112" spans="1:1">
      <c r="A112" s="4"/>
    </row>
    <row r="114" spans="1:1">
      <c r="A114" s="4"/>
    </row>
    <row r="115" spans="1:1">
      <c r="A115" s="5"/>
    </row>
    <row r="116" spans="1:1">
      <c r="A116" s="5"/>
    </row>
    <row r="117" spans="1:1">
      <c r="A117" s="5"/>
    </row>
    <row r="118" spans="1:1">
      <c r="A118" s="5"/>
    </row>
    <row r="119" spans="1:1">
      <c r="A119" s="5"/>
    </row>
    <row r="120" spans="1:1">
      <c r="A120" s="5"/>
    </row>
    <row r="121" spans="1:1">
      <c r="A121" s="5"/>
    </row>
    <row r="122" spans="1:1">
      <c r="A122" s="5"/>
    </row>
    <row r="124" spans="1:1">
      <c r="A124" s="4"/>
    </row>
    <row r="128" spans="1:1" ht="23.4">
      <c r="A128" s="7"/>
    </row>
    <row r="167" spans="1:1">
      <c r="A167" s="4"/>
    </row>
    <row r="169" spans="1:1">
      <c r="A169" s="4"/>
    </row>
    <row r="170" spans="1:1">
      <c r="A170" s="5"/>
    </row>
    <row r="171" spans="1:1">
      <c r="A171" s="5"/>
    </row>
    <row r="172" spans="1:1">
      <c r="A172" s="8"/>
    </row>
    <row r="173" spans="1:1">
      <c r="A173" s="5"/>
    </row>
    <row r="174" spans="1:1">
      <c r="A174" s="5"/>
    </row>
    <row r="175" spans="1:1">
      <c r="A175" s="5"/>
    </row>
    <row r="176" spans="1:1">
      <c r="A176" s="5"/>
    </row>
    <row r="177" spans="1:1">
      <c r="A177" s="6"/>
    </row>
    <row r="178" spans="1:1">
      <c r="A178" s="6"/>
    </row>
    <row r="179" spans="1:1">
      <c r="A179" s="6"/>
    </row>
    <row r="180" spans="1:1">
      <c r="A180" s="6"/>
    </row>
    <row r="181" spans="1:1">
      <c r="A181" s="6"/>
    </row>
    <row r="182" spans="1:1">
      <c r="A182" s="6"/>
    </row>
    <row r="183" spans="1:1">
      <c r="A183" s="5"/>
    </row>
    <row r="184" spans="1:1">
      <c r="A184" s="5"/>
    </row>
    <row r="185" spans="1:1">
      <c r="A185" s="5"/>
    </row>
    <row r="186" spans="1:1">
      <c r="A186" s="5"/>
    </row>
    <row r="188" spans="1:1">
      <c r="A188" s="4"/>
    </row>
    <row r="192" spans="1:1" ht="31.2">
      <c r="A192"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DDC72-1CD3-48ED-B2DC-63C44BC7A192}">
  <dimension ref="A3:J74"/>
  <sheetViews>
    <sheetView workbookViewId="0">
      <selection activeCell="E8" sqref="E8"/>
    </sheetView>
  </sheetViews>
  <sheetFormatPr defaultRowHeight="14.4"/>
  <cols>
    <col min="1" max="1" width="24.77734375" bestFit="1" customWidth="1"/>
    <col min="2" max="2" width="12.5546875" bestFit="1" customWidth="1"/>
    <col min="3" max="3" width="24.77734375" bestFit="1" customWidth="1"/>
    <col min="4" max="4" width="14.88671875" bestFit="1" customWidth="1"/>
    <col min="5" max="6" width="15.44140625" bestFit="1" customWidth="1"/>
  </cols>
  <sheetData>
    <row r="3" spans="1:10" ht="18">
      <c r="A3" s="88" t="s">
        <v>307</v>
      </c>
      <c r="B3" s="89"/>
      <c r="C3" s="89"/>
      <c r="D3" s="89"/>
      <c r="E3" s="89"/>
      <c r="F3" s="90"/>
    </row>
    <row r="4" spans="1:10">
      <c r="A4" s="15"/>
      <c r="F4" s="16"/>
    </row>
    <row r="5" spans="1:10">
      <c r="A5" s="15"/>
      <c r="B5" s="31" t="s">
        <v>297</v>
      </c>
      <c r="C5" s="59" t="s">
        <v>306</v>
      </c>
      <c r="D5" s="59" t="s">
        <v>296</v>
      </c>
      <c r="E5" s="32" t="s">
        <v>303</v>
      </c>
      <c r="F5" s="16"/>
    </row>
    <row r="6" spans="1:10">
      <c r="A6" s="15"/>
      <c r="B6" s="85">
        <v>24004981.520000014</v>
      </c>
      <c r="C6" s="87">
        <v>120024.90760000008</v>
      </c>
      <c r="D6" s="86">
        <v>1102</v>
      </c>
      <c r="E6" s="32">
        <v>200</v>
      </c>
      <c r="F6" s="16"/>
    </row>
    <row r="7" spans="1:10">
      <c r="A7" s="15"/>
      <c r="F7" s="16"/>
    </row>
    <row r="8" spans="1:10">
      <c r="A8" s="15"/>
      <c r="B8" s="41">
        <f>GETPIVOTDATA("Sum of Sale_After_Discount",$B$5)</f>
        <v>24004981.520000014</v>
      </c>
      <c r="C8" s="41">
        <f>GETPIVOTDATA("Average of Sale_After_Discount2",$B$5)</f>
        <v>120024.90760000008</v>
      </c>
      <c r="D8">
        <f>GETPIVOTDATA("Sum of Quantity",$B$5)</f>
        <v>1102</v>
      </c>
      <c r="E8">
        <f>GETPIVOTDATA("Count of OrderID",$B$5)</f>
        <v>200</v>
      </c>
      <c r="F8" s="16"/>
    </row>
    <row r="9" spans="1:10">
      <c r="A9" s="15"/>
      <c r="F9" s="16"/>
    </row>
    <row r="10" spans="1:10">
      <c r="A10" s="17"/>
      <c r="B10" s="18"/>
      <c r="C10" s="18"/>
      <c r="D10" s="18"/>
      <c r="E10" s="18"/>
      <c r="F10" s="19"/>
    </row>
    <row r="14" spans="1:10" ht="18">
      <c r="A14" s="94" t="s">
        <v>286</v>
      </c>
      <c r="B14" s="95"/>
      <c r="C14" s="95"/>
      <c r="D14" s="95"/>
      <c r="E14" s="95"/>
      <c r="F14" s="95"/>
      <c r="G14" s="95"/>
      <c r="H14" s="95"/>
      <c r="I14" s="95"/>
      <c r="J14" s="96"/>
    </row>
    <row r="15" spans="1:10">
      <c r="A15" s="15"/>
      <c r="J15" s="16"/>
    </row>
    <row r="16" spans="1:10">
      <c r="A16" s="15"/>
      <c r="J16" s="16"/>
    </row>
    <row r="17" spans="1:10">
      <c r="A17" s="15"/>
      <c r="B17" s="26" t="s">
        <v>294</v>
      </c>
      <c r="C17" s="36" t="s">
        <v>297</v>
      </c>
      <c r="J17" s="16"/>
    </row>
    <row r="18" spans="1:10">
      <c r="A18" s="15"/>
      <c r="B18" s="27">
        <v>1</v>
      </c>
      <c r="C18" s="52">
        <v>2118464.9</v>
      </c>
      <c r="J18" s="16"/>
    </row>
    <row r="19" spans="1:10">
      <c r="A19" s="15"/>
      <c r="B19" s="28">
        <v>2</v>
      </c>
      <c r="C19" s="53">
        <v>2192128.9099999997</v>
      </c>
      <c r="J19" s="16"/>
    </row>
    <row r="20" spans="1:10">
      <c r="A20" s="15"/>
      <c r="B20" s="28">
        <v>3</v>
      </c>
      <c r="C20" s="53">
        <v>1976581.0300000003</v>
      </c>
      <c r="J20" s="16"/>
    </row>
    <row r="21" spans="1:10">
      <c r="A21" s="15"/>
      <c r="B21" s="28">
        <v>4</v>
      </c>
      <c r="C21" s="53">
        <v>1247148.1099999999</v>
      </c>
      <c r="J21" s="16"/>
    </row>
    <row r="22" spans="1:10">
      <c r="A22" s="15"/>
      <c r="B22" s="28">
        <v>5</v>
      </c>
      <c r="C22" s="53">
        <v>1934445.16</v>
      </c>
      <c r="J22" s="16"/>
    </row>
    <row r="23" spans="1:10">
      <c r="A23" s="15"/>
      <c r="B23" s="28">
        <v>6</v>
      </c>
      <c r="C23" s="53">
        <v>2432774.5999999996</v>
      </c>
      <c r="J23" s="16"/>
    </row>
    <row r="24" spans="1:10">
      <c r="A24" s="15"/>
      <c r="B24" s="28">
        <v>7</v>
      </c>
      <c r="C24" s="53">
        <v>2765036.8599999994</v>
      </c>
      <c r="J24" s="16"/>
    </row>
    <row r="25" spans="1:10">
      <c r="A25" s="15"/>
      <c r="B25" s="28">
        <v>8</v>
      </c>
      <c r="C25" s="53">
        <v>2113696.5699999998</v>
      </c>
      <c r="J25" s="16"/>
    </row>
    <row r="26" spans="1:10">
      <c r="A26" s="15"/>
      <c r="B26" s="28">
        <v>9</v>
      </c>
      <c r="C26" s="53">
        <v>2030347.7599999998</v>
      </c>
      <c r="J26" s="16"/>
    </row>
    <row r="27" spans="1:10">
      <c r="A27" s="15"/>
      <c r="B27" s="28">
        <v>10</v>
      </c>
      <c r="C27" s="53">
        <v>2592482.19</v>
      </c>
      <c r="J27" s="16"/>
    </row>
    <row r="28" spans="1:10">
      <c r="A28" s="15"/>
      <c r="B28" s="28">
        <v>11</v>
      </c>
      <c r="C28" s="53">
        <v>1167007.6000000001</v>
      </c>
      <c r="J28" s="16"/>
    </row>
    <row r="29" spans="1:10">
      <c r="A29" s="15"/>
      <c r="B29" s="29">
        <v>12</v>
      </c>
      <c r="C29" s="53">
        <v>1434867.8300000003</v>
      </c>
      <c r="J29" s="16"/>
    </row>
    <row r="30" spans="1:10">
      <c r="A30" s="15"/>
      <c r="B30" s="30" t="s">
        <v>295</v>
      </c>
      <c r="C30" s="60">
        <v>24004981.520000003</v>
      </c>
      <c r="J30" s="16"/>
    </row>
    <row r="31" spans="1:10">
      <c r="A31" s="15"/>
      <c r="J31" s="16"/>
    </row>
    <row r="32" spans="1:10">
      <c r="A32" s="15"/>
      <c r="J32" s="16"/>
    </row>
    <row r="33" spans="1:10">
      <c r="A33" s="17"/>
      <c r="B33" s="18"/>
      <c r="C33" s="18"/>
      <c r="D33" s="18"/>
      <c r="E33" s="18"/>
      <c r="F33" s="18"/>
      <c r="G33" s="18"/>
      <c r="H33" s="18"/>
      <c r="I33" s="18"/>
      <c r="J33" s="19"/>
    </row>
    <row r="36" spans="1:10" ht="18">
      <c r="A36" s="94" t="s">
        <v>287</v>
      </c>
      <c r="B36" s="95"/>
      <c r="C36" s="95"/>
      <c r="D36" s="95"/>
      <c r="E36" s="95"/>
      <c r="F36" s="95"/>
      <c r="G36" s="95"/>
      <c r="H36" s="95"/>
      <c r="I36" s="95"/>
      <c r="J36" s="96"/>
    </row>
    <row r="37" spans="1:10">
      <c r="A37" s="15"/>
      <c r="J37" s="16"/>
    </row>
    <row r="38" spans="1:10">
      <c r="A38" s="15"/>
      <c r="B38" s="26" t="s">
        <v>294</v>
      </c>
      <c r="C38" s="36" t="s">
        <v>297</v>
      </c>
      <c r="J38" s="16"/>
    </row>
    <row r="39" spans="1:10">
      <c r="A39" s="15"/>
      <c r="B39" s="27" t="s">
        <v>41</v>
      </c>
      <c r="C39" s="52">
        <v>7643971.5199999986</v>
      </c>
      <c r="J39" s="16"/>
    </row>
    <row r="40" spans="1:10">
      <c r="A40" s="15"/>
      <c r="B40" s="28" t="s">
        <v>15</v>
      </c>
      <c r="C40" s="53">
        <v>4982964.7199999979</v>
      </c>
      <c r="J40" s="16"/>
    </row>
    <row r="41" spans="1:10">
      <c r="A41" s="15"/>
      <c r="B41" s="28" t="s">
        <v>23</v>
      </c>
      <c r="C41" s="53">
        <v>5367067.9099999992</v>
      </c>
      <c r="J41" s="16"/>
    </row>
    <row r="42" spans="1:10">
      <c r="A42" s="15"/>
      <c r="B42" s="29" t="s">
        <v>30</v>
      </c>
      <c r="C42" s="53">
        <v>6010977.3700000001</v>
      </c>
      <c r="J42" s="16"/>
    </row>
    <row r="43" spans="1:10">
      <c r="A43" s="15"/>
      <c r="B43" s="30" t="s">
        <v>295</v>
      </c>
      <c r="C43" s="60">
        <v>24004981.519999996</v>
      </c>
      <c r="J43" s="16"/>
    </row>
    <row r="44" spans="1:10">
      <c r="A44" s="15"/>
      <c r="J44" s="16"/>
    </row>
    <row r="45" spans="1:10">
      <c r="A45" s="15"/>
      <c r="J45" s="16"/>
    </row>
    <row r="46" spans="1:10">
      <c r="A46" s="15"/>
      <c r="J46" s="16"/>
    </row>
    <row r="47" spans="1:10">
      <c r="A47" s="15"/>
      <c r="J47" s="16"/>
    </row>
    <row r="48" spans="1:10">
      <c r="A48" s="15"/>
      <c r="J48" s="16"/>
    </row>
    <row r="49" spans="1:10">
      <c r="A49" s="15"/>
      <c r="J49" s="16"/>
    </row>
    <row r="50" spans="1:10">
      <c r="A50" s="15"/>
      <c r="J50" s="16"/>
    </row>
    <row r="51" spans="1:10">
      <c r="A51" s="15"/>
      <c r="J51" s="16"/>
    </row>
    <row r="52" spans="1:10">
      <c r="A52" s="15"/>
      <c r="J52" s="16"/>
    </row>
    <row r="53" spans="1:10">
      <c r="A53" s="17"/>
      <c r="B53" s="18"/>
      <c r="C53" s="18"/>
      <c r="D53" s="18"/>
      <c r="E53" s="18"/>
      <c r="F53" s="18"/>
      <c r="G53" s="18"/>
      <c r="H53" s="18"/>
      <c r="I53" s="18"/>
      <c r="J53" s="19"/>
    </row>
    <row r="56" spans="1:10" ht="18">
      <c r="A56" s="94" t="s">
        <v>288</v>
      </c>
      <c r="B56" s="95"/>
      <c r="C56" s="95"/>
      <c r="D56" s="95"/>
      <c r="E56" s="95"/>
      <c r="F56" s="95"/>
      <c r="G56" s="95"/>
      <c r="H56" s="95"/>
      <c r="I56" s="95"/>
      <c r="J56" s="96"/>
    </row>
    <row r="57" spans="1:10">
      <c r="A57" s="15"/>
      <c r="J57" s="16"/>
    </row>
    <row r="58" spans="1:10">
      <c r="A58" s="15"/>
      <c r="B58" s="26" t="s">
        <v>294</v>
      </c>
      <c r="C58" s="36" t="s">
        <v>297</v>
      </c>
      <c r="J58" s="16"/>
    </row>
    <row r="59" spans="1:10">
      <c r="A59" s="15"/>
      <c r="B59" s="27" t="s">
        <v>13</v>
      </c>
      <c r="C59" s="52">
        <v>4334263.3499999996</v>
      </c>
      <c r="J59" s="16"/>
    </row>
    <row r="60" spans="1:10">
      <c r="A60" s="15"/>
      <c r="B60" s="28" t="s">
        <v>21</v>
      </c>
      <c r="C60" s="53">
        <v>6708061.6499999994</v>
      </c>
      <c r="J60" s="16"/>
    </row>
    <row r="61" spans="1:10">
      <c r="A61" s="15"/>
      <c r="B61" s="28" t="s">
        <v>28</v>
      </c>
      <c r="C61" s="53">
        <v>6205315.25</v>
      </c>
      <c r="J61" s="16"/>
    </row>
    <row r="62" spans="1:10">
      <c r="A62" s="15"/>
      <c r="B62" s="29" t="s">
        <v>69</v>
      </c>
      <c r="C62" s="53">
        <v>6757341.2699999986</v>
      </c>
      <c r="J62" s="16"/>
    </row>
    <row r="63" spans="1:10">
      <c r="A63" s="15"/>
      <c r="B63" s="30" t="s">
        <v>295</v>
      </c>
      <c r="C63" s="60">
        <v>24004981.52</v>
      </c>
      <c r="J63" s="16"/>
    </row>
    <row r="64" spans="1:10">
      <c r="A64" s="15"/>
      <c r="J64" s="16"/>
    </row>
    <row r="65" spans="1:10">
      <c r="A65" s="15"/>
      <c r="J65" s="16"/>
    </row>
    <row r="66" spans="1:10">
      <c r="A66" s="15"/>
      <c r="J66" s="16"/>
    </row>
    <row r="67" spans="1:10">
      <c r="A67" s="15"/>
      <c r="J67" s="16"/>
    </row>
    <row r="68" spans="1:10">
      <c r="A68" s="15"/>
      <c r="J68" s="16"/>
    </row>
    <row r="69" spans="1:10">
      <c r="A69" s="15"/>
      <c r="J69" s="16"/>
    </row>
    <row r="70" spans="1:10">
      <c r="A70" s="15"/>
      <c r="J70" s="16"/>
    </row>
    <row r="71" spans="1:10">
      <c r="A71" s="15"/>
      <c r="J71" s="16"/>
    </row>
    <row r="72" spans="1:10">
      <c r="A72" s="15"/>
      <c r="J72" s="16"/>
    </row>
    <row r="73" spans="1:10">
      <c r="A73" s="15"/>
      <c r="J73" s="16"/>
    </row>
    <row r="74" spans="1:10">
      <c r="A74" s="17"/>
      <c r="B74" s="18"/>
      <c r="C74" s="18"/>
      <c r="D74" s="18"/>
      <c r="E74" s="18"/>
      <c r="F74" s="18"/>
      <c r="G74" s="18"/>
      <c r="H74" s="18"/>
      <c r="I74" s="18"/>
      <c r="J74" s="19"/>
    </row>
  </sheetData>
  <mergeCells count="4">
    <mergeCell ref="A3:F3"/>
    <mergeCell ref="A14:J14"/>
    <mergeCell ref="A36:J36"/>
    <mergeCell ref="A56:J56"/>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0D97B-8650-40E2-9EB7-55F0A3FF948C}">
  <dimension ref="A1"/>
  <sheetViews>
    <sheetView showGridLines="0" topLeftCell="B1" zoomScale="70" zoomScaleNormal="70" workbookViewId="0">
      <selection activeCell="AH10" sqref="AH10"/>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RetailSales</vt:lpstr>
      <vt:lpstr>Pivot_1</vt:lpstr>
      <vt:lpstr>Dashboard_1</vt:lpstr>
      <vt:lpstr>Pivot_2</vt:lpstr>
      <vt:lpstr>Dashboard_2</vt:lpstr>
      <vt:lpstr>Questions</vt:lpstr>
      <vt:lpstr>Pivot_3</vt:lpstr>
      <vt:lpstr>Dashboard_3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Rapariya</cp:lastModifiedBy>
  <dcterms:created xsi:type="dcterms:W3CDTF">2025-11-23T05:58:28Z</dcterms:created>
  <dcterms:modified xsi:type="dcterms:W3CDTF">2026-02-03T16:31:14Z</dcterms:modified>
</cp:coreProperties>
</file>